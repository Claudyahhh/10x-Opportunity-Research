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估值摘要" sheetId="1" state="visible" r:id="rId3"/>
    <sheet name="利润表" sheetId="2" state="visible" r:id="rId4"/>
    <sheet name="盈利质量" sheetId="3" state="visible" r:id="rId5"/>
    <sheet name="长期趋势" sheetId="4" state="visible" r:id="rId6"/>
    <sheet name="SensorTower交叉验证" sheetId="5" state="visible" r:id="rId7"/>
    <sheet name="内部人DI时间线" sheetId="6" state="visible" r:id="rId8"/>
    <sheet name="持股结构演变" sheetId="7" state="visible" r:id="rId9"/>
    <sheet name="CCASS每日追踪" sheetId="8" state="visible" r:id="rId10"/>
    <sheet name="估值与情景" sheetId="9" state="visible" r:id="rId11"/>
    <sheet name="假设与输入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<sst xmlns="http://schemas.openxmlformats.org/spreadsheetml/2006/main" count="713" uniqueCount="441">
  <si>
    <t xml:space="preserve">赤子城科技 (9911.HK) · 中报点评与估值锚定</t>
  </si>
  <si>
    <t xml:space="preserve">基于2026年中期业绩(截至2026/6/30)｜单位US$mm除标注｜本页为输出摘要，明细见其余标签页</t>
  </si>
  <si>
    <t xml:space="preserve">中性锚定价 (12个月)</t>
  </si>
  <si>
    <t xml:space="preserve">悲观</t>
  </si>
  <si>
    <t xml:space="preserve">乐观</t>
  </si>
  <si>
    <t xml:space="preserve">当前价</t>
  </si>
  <si>
    <t xml:space="preserve">下行保护</t>
  </si>
  <si>
    <t xml:space="preserve">重估弹性</t>
  </si>
  <si>
    <t xml:space="preserve">一、关键财务 (H1 2026)</t>
  </si>
  <si>
    <t xml:space="preserve">指标</t>
  </si>
  <si>
    <t xml:space="preserve">H1'26</t>
  </si>
  <si>
    <t xml:space="preserve">H1'25</t>
  </si>
  <si>
    <t xml:space="preserve">同比</t>
  </si>
  <si>
    <t xml:space="preserve">评价</t>
  </si>
  <si>
    <t xml:space="preserve">客户合约收入</t>
  </si>
  <si>
    <t xml:space="preserve">强劲，真实</t>
  </si>
  <si>
    <t xml:space="preserve">毛利</t>
  </si>
  <si>
    <t xml:space="preserve">毛利率升至57.8%</t>
  </si>
  <si>
    <t xml:space="preserve">经营利润(报告)</t>
  </si>
  <si>
    <t xml:space="preserve">含出售收益</t>
  </si>
  <si>
    <t xml:space="preserve">报告归母</t>
  </si>
  <si>
    <t xml:space="preserve">表观亮眼</t>
  </si>
  <si>
    <t xml:space="preserve">核心经调整归母</t>
  </si>
  <si>
    <t xml:space="preserve">真实承压↓</t>
  </si>
  <si>
    <t xml:space="preserve">经营活动现金流*</t>
  </si>
  <si>
    <t xml:space="preserve">89.3</t>
  </si>
  <si>
    <t xml:space="preserve">73.5</t>
  </si>
  <si>
    <t xml:space="preserve">现金质量好</t>
  </si>
  <si>
    <r>
      <rPr>
        <i val="true"/>
        <sz val="9"/>
        <color rgb="FF595959"/>
        <rFont val="Arial"/>
        <family val="0"/>
        <charset val="1"/>
      </rPr>
      <t xml:space="preserve">*</t>
    </r>
    <r>
      <rPr>
        <i val="true"/>
        <sz val="9"/>
        <color rgb="FF595959"/>
        <rFont val="Noto Sans CJK SC"/>
        <family val="2"/>
      </rPr>
      <t xml:space="preserve">经营现金流为公告值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未并入公式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</si>
  <si>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二、估值锚定要点</t>
  </si>
  <si>
    <t xml:space="preserve">• 结论：中报「表观高增、核心承压」。收入+37%、毛利率提升是真增长；但归母+45.8%里约3,970万美元为出售子公司一次性收益，剔除后核心经调整利润同比约−16%。</t>
  </si>
  <si>
    <t xml:space="preserve">• 锚定口径：以「核心经调整归母」(剔除出售+重估)为估值基准，避免被一次性收益抬高。三法(FY26/FY27 P/E + FY27 EV/EBITDA)交叉取平均。</t>
  </si>
  <si>
    <t xml:space="preserve">• 净现金护城河：约4.97亿美元净现金≈每股HK$2.9，占当前市值约1/3，构成下行保护；扣现金后主业估值不贵(EV/核心EBITDA约6x)。</t>
  </si>
  <si>
    <t xml:space="preserve">• 上行催化：港股通带来的流动性/估值重估、短剧(Playlet)与精品游戏放量、买量投放后续转化为核心利润。</t>
  </si>
  <si>
    <t xml:space="preserve">• 下行风险：营销费率持续高企侵蚀利润、MENA地区集中度与地缘风险、一次性收益不可持续、创新业务毛利率下滑。</t>
  </si>
  <si>
    <t xml:space="preserve">• 与卖方对照：本模型中性锚定略低于市场中枢(约HK$13.5)，因对盈利质量给予更审慎折让。</t>
  </si>
  <si>
    <t xml:space="preserve">免责声明：本文为基于公开信息的分析框架，非投资建议。作者非持牌投资顾问；股价、汇率、股数请以实时数据为准，模型假设(蓝字/黄底)可自行调整。</t>
  </si>
  <si>
    <t xml:space="preserve">赤子城科技 (9911.HK) — 合并利润表：历史与预测</t>
  </si>
  <si>
    <t xml:space="preserve">单位：百万美元｜FY2023–25年为人民币口径按约7.15折美元(近似)，H1为公告美元实际值，E=预测(公式)</t>
  </si>
  <si>
    <t xml:space="preserve">利润表 (US$mm)</t>
  </si>
  <si>
    <t xml:space="preserve">FY2023</t>
  </si>
  <si>
    <t xml:space="preserve">FY2024</t>
  </si>
  <si>
    <t xml:space="preserve">FY2025</t>
  </si>
  <si>
    <t xml:space="preserve">FY2026E</t>
  </si>
  <si>
    <t xml:space="preserve">FY2027E</t>
  </si>
  <si>
    <t xml:space="preserve">FY2028E</t>
  </si>
  <si>
    <t xml:space="preserve">社交业务收入</t>
  </si>
  <si>
    <t xml:space="preserve">创新业务收入</t>
  </si>
  <si>
    <t xml:space="preserve">客户合约收入 (总)</t>
  </si>
  <si>
    <t xml:space="preserve">收入成本 Cost of revenue</t>
  </si>
  <si>
    <t xml:space="preserve">毛利 Gross profit</t>
  </si>
  <si>
    <t xml:space="preserve">毛利率 %</t>
  </si>
  <si>
    <t xml:space="preserve">销售及营销费用 S&amp;M</t>
  </si>
  <si>
    <t xml:space="preserve">—</t>
  </si>
  <si>
    <t xml:space="preserve">研发费用 R&amp;D</t>
  </si>
  <si>
    <t xml:space="preserve">管理费用 G&amp;A</t>
  </si>
  <si>
    <t xml:space="preserve">其他经营净损益 Other (减值/其他)</t>
  </si>
  <si>
    <t xml:space="preserve">核心经营利润 (剔除一次性)</t>
  </si>
  <si>
    <t xml:space="preserve">出售附属公司收益 (一次性)</t>
  </si>
  <si>
    <t xml:space="preserve">经营利润 (报告) Operating profit</t>
  </si>
  <si>
    <t xml:space="preserve">净财务收入 Net finance income</t>
  </si>
  <si>
    <t xml:space="preserve">应占联营损益 Assoc.</t>
  </si>
  <si>
    <t xml:space="preserve">权益法重估收益 (一次性)</t>
  </si>
  <si>
    <t xml:space="preserve">除税前利润 Profit before tax</t>
  </si>
  <si>
    <t xml:space="preserve">所得税 Income tax</t>
  </si>
  <si>
    <t xml:space="preserve">期内利润 Net profit</t>
  </si>
  <si>
    <t xml:space="preserve">少数股东损益 NCI</t>
  </si>
  <si>
    <t xml:space="preserve">归母净利润 (报告) Attributable</t>
  </si>
  <si>
    <t xml:space="preserve">加: 股份薪酬 SBC</t>
  </si>
  <si>
    <t xml:space="preserve">加: 折旧摊销 D&amp;A</t>
  </si>
  <si>
    <t xml:space="preserve">经调整EBITDA (报告)</t>
  </si>
  <si>
    <t xml:space="preserve">══ 盈利质量调整 ══</t>
  </si>
  <si>
    <t xml:space="preserve">核心归母净利润 (剔除全部一次性)</t>
  </si>
  <si>
    <t xml:space="preserve">核心经调整归母 (核心+SBC)</t>
  </si>
  <si>
    <t xml:space="preserve">公司口径经调整归母 (+SBC−重估,含出售)</t>
  </si>
  <si>
    <t xml:space="preserve">核心经调整EBITDA (剔除出售)</t>
  </si>
  <si>
    <t xml:space="preserve">收入同比增速</t>
  </si>
  <si>
    <t xml:space="preserve">报告归母同比增速</t>
  </si>
  <si>
    <t xml:space="preserve">核心经调整归母同比增速</t>
  </si>
  <si>
    <t xml:space="preserve">盈利质量拆解 · 2026年上半年 (US$mm)</t>
  </si>
  <si>
    <t xml:space="preserve">从「报告归母」还原到「核心经调整」——揭示一次性收益对表观利润的贡献</t>
  </si>
  <si>
    <t xml:space="preserve">项目</t>
  </si>
  <si>
    <t xml:space="preserve">报告归母净利润</t>
  </si>
  <si>
    <t xml:space="preserve">  减：出售附属公司收益(一次性)</t>
  </si>
  <si>
    <t xml:space="preserve">  减：权益法重估收益(一次性)</t>
  </si>
  <si>
    <t xml:space="preserve">核心归母净利润 (剔除一次性)</t>
  </si>
  <si>
    <t xml:space="preserve">  加：股份薪酬 SBC (归属部分)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</si>
  <si>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备忘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公司口径经调整归母</t>
    </r>
  </si>
  <si>
    <t xml:space="preserve">关键结论</t>
  </si>
  <si>
    <t xml:space="preserve">• 表观归母同比+45.8%，但其中约3,970万美元来自出售NADA、Ditto两项子公司的一次性收益(含重估)。</t>
  </si>
  <si>
    <t xml:space="preserve">• 剔除全部一次性后，「核心经调整归母」由H1'25约8,511万美元降至H1'26约7,115万美元，同比约−16%。</t>
  </si>
  <si>
    <t xml:space="preserve">• 主因：销售及营销费用同比+64%(占收入37.7%)，增幅超过毛利增量——公司在用全球买量换增长。</t>
  </si>
  <si>
    <t xml:space="preserve">• 现金质量仍稳健：经营活动现金流8,930万美元(+21%)，资本开支仅300万，一次性收益多为非经常但确有现金。</t>
  </si>
  <si>
    <t xml:space="preserve">• 因此表观高增需打折看待；真正决定估值的是营销投放能否在后续转化为可持续的核心利润。</t>
  </si>
  <si>
    <t xml:space="preserve">赤子城科技 — 5年趋势与盈利质量证据 (人民币千元，公司年报口径)</t>
  </si>
  <si>
    <t xml:space="preserve">蓝字=年报实际值(来源:2025年报5年摘要表)｜黑字=计算比率｜关键:毛利率↑但EBITDA/净利率自2023见顶回落</t>
  </si>
  <si>
    <t xml:space="preserve">损益 (RMB'000)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</si>
  <si>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</si>
  <si>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</si>
  <si>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</si>
  <si>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</si>
  <si>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</si>
  <si>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  毛利率 %</t>
  </si>
  <si>
    <t xml:space="preserve">除所得税前利润</t>
  </si>
  <si>
    <t xml:space="preserve">年内利润/(亏损)</t>
  </si>
  <si>
    <t xml:space="preserve">  净利率 %</t>
  </si>
  <si>
    <t xml:space="preserve">经调整EBITDA</t>
  </si>
  <si>
    <t xml:space="preserve">  经调整EBITDA利润率 %</t>
  </si>
  <si>
    <t xml:space="preserve">本公司权益股东应占经调整利润</t>
  </si>
  <si>
    <t xml:space="preserve">  收入同比 %</t>
  </si>
  <si>
    <t xml:space="preserve">  经调整归母同比 %</t>
  </si>
  <si>
    <t xml:space="preserve">资产负债表 (RMB'000)</t>
  </si>
  <si>
    <t xml:space="preserve">资产总额</t>
  </si>
  <si>
    <t xml:space="preserve">负债总额</t>
  </si>
  <si>
    <t xml:space="preserve">权益总额</t>
  </si>
  <si>
    <t xml:space="preserve">  资产负债率 %</t>
  </si>
  <si>
    <t xml:space="preserve">读图要点</t>
  </si>
  <si>
    <r>
      <rPr>
        <sz val="10"/>
        <color rgb="FF000000"/>
        <rFont val="Arial"/>
        <family val="0"/>
        <charset val="1"/>
      </rPr>
      <t xml:space="preserve">1) </t>
    </r>
    <r>
      <rPr>
        <sz val="10"/>
        <color rgb="FF000000"/>
        <rFont val="Noto Sans CJK SC"/>
        <family val="2"/>
      </rPr>
      <t xml:space="preserve">收入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年约</t>
    </r>
    <r>
      <rPr>
        <sz val="10"/>
        <color rgb="FF000000"/>
        <rFont val="Arial"/>
        <family val="0"/>
        <charset val="1"/>
      </rPr>
      <t xml:space="preserve">2.9</t>
    </r>
    <r>
      <rPr>
        <sz val="10"/>
        <color rgb="FF000000"/>
        <rFont val="Noto Sans CJK SC"/>
        <family val="2"/>
      </rPr>
      <t xml:space="preserve">倍</t>
    </r>
    <r>
      <rPr>
        <sz val="10"/>
        <color rgb="FF000000"/>
        <rFont val="Arial"/>
        <family val="0"/>
        <charset val="1"/>
      </rPr>
      <t xml:space="preserve">(CAGR</t>
    </r>
    <r>
      <rPr>
        <sz val="10"/>
        <color rgb="FF000000"/>
        <rFont val="Noto Sans CJK SC"/>
        <family val="2"/>
      </rPr>
      <t xml:space="preserve">约</t>
    </r>
    <r>
      <rPr>
        <sz val="10"/>
        <color rgb="FF000000"/>
        <rFont val="Arial"/>
        <family val="0"/>
        <charset val="1"/>
      </rPr>
      <t xml:space="preserve">31%)——</t>
    </r>
    <r>
      <rPr>
        <sz val="10"/>
        <color rgb="FF000000"/>
        <rFont val="Noto Sans CJK SC"/>
        <family val="2"/>
      </rPr>
      <t xml:space="preserve">出海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爆款流水线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是真实资产。</t>
    </r>
  </si>
  <si>
    <r>
      <rPr>
        <sz val="10"/>
        <color rgb="FF000000"/>
        <rFont val="Arial"/>
        <family val="0"/>
        <charset val="1"/>
      </rPr>
      <t xml:space="preserve">2) </t>
    </r>
    <r>
      <rPr>
        <sz val="10"/>
        <color rgb="FF000000"/>
        <rFont val="Noto Sans CJK SC"/>
        <family val="2"/>
      </rPr>
      <t xml:space="preserve">毛利率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38%→2025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56%</t>
    </r>
    <r>
      <rPr>
        <sz val="10"/>
        <color rgb="FF000000"/>
        <rFont val="Noto Sans CJK SC"/>
        <family val="2"/>
      </rPr>
      <t xml:space="preserve">持续上行</t>
    </r>
    <r>
      <rPr>
        <sz val="10"/>
        <color rgb="FF000000"/>
        <rFont val="Arial"/>
        <family val="0"/>
        <charset val="1"/>
      </rPr>
      <t xml:space="preserve">(AI</t>
    </r>
    <r>
      <rPr>
        <sz val="10"/>
        <color rgb="FF000000"/>
        <rFont val="Noto Sans CJK SC"/>
        <family val="2"/>
      </rPr>
      <t xml:space="preserve">提效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高毛利</t>
    </r>
    <r>
      <rPr>
        <sz val="10"/>
        <color rgb="FF000000"/>
        <rFont val="Arial"/>
        <family val="0"/>
        <charset val="1"/>
      </rPr>
      <t xml:space="preserve">UGC</t>
    </r>
    <r>
      <rPr>
        <sz val="10"/>
        <color rgb="FF000000"/>
        <rFont val="Noto Sans CJK SC"/>
        <family val="2"/>
      </rPr>
      <t xml:space="preserve">占比提升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</si>
  <si>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3) </t>
    </r>
    <r>
      <rPr>
        <sz val="10"/>
        <color rgb="FF000000"/>
        <rFont val="Noto Sans CJK SC"/>
        <family val="2"/>
      </rPr>
      <t xml:space="preserve">但净利率</t>
    </r>
    <r>
      <rPr>
        <sz val="10"/>
        <color rgb="FF000000"/>
        <rFont val="Arial"/>
        <family val="0"/>
        <charset val="1"/>
      </rPr>
      <t xml:space="preserve">23%(2023)→14%(2025)</t>
    </r>
    <r>
      <rPr>
        <sz val="10"/>
        <color rgb="FF000000"/>
        <rFont val="Noto Sans CJK SC"/>
        <family val="2"/>
      </rPr>
      <t xml:space="preserve">、经调整</t>
    </r>
    <r>
      <rPr>
        <sz val="10"/>
        <color rgb="FF000000"/>
        <rFont val="Arial"/>
        <family val="0"/>
        <charset val="1"/>
      </rPr>
      <t xml:space="preserve">EBITDA</t>
    </r>
    <r>
      <rPr>
        <sz val="10"/>
        <color rgb="FF000000"/>
        <rFont val="Noto Sans CJK SC"/>
        <family val="2"/>
      </rPr>
      <t xml:space="preserve">利润率</t>
    </r>
    <r>
      <rPr>
        <sz val="10"/>
        <color rgb="FF000000"/>
        <rFont val="Arial"/>
        <family val="0"/>
        <charset val="1"/>
      </rPr>
      <t xml:space="preserve">20.4%→17.6%</t>
    </r>
    <r>
      <rPr>
        <sz val="10"/>
        <color rgb="FF000000"/>
        <rFont val="Noto Sans CJK SC"/>
        <family val="2"/>
      </rPr>
      <t xml:space="preserve">连降两年：</t>
    </r>
    <r>
      <rPr>
        <sz val="10"/>
        <color rgb="FF000000"/>
        <rFont val="Arial"/>
        <family val="0"/>
        <charset val="1"/>
      </rPr>
      <t xml:space="preserve">S&amp;M</t>
    </r>
    <r>
      <rPr>
        <sz val="10"/>
        <color rgb="FF000000"/>
        <rFont val="Noto Sans CJK SC"/>
        <family val="2"/>
      </rPr>
      <t xml:space="preserve">买量增速</t>
    </r>
    <r>
      <rPr>
        <sz val="10"/>
        <color rgb="FF000000"/>
        <rFont val="Arial"/>
        <family val="0"/>
        <charset val="1"/>
      </rPr>
      <t xml:space="preserve">&gt;</t>
    </r>
    <r>
      <rPr>
        <sz val="10"/>
        <color rgb="FF000000"/>
        <rFont val="Noto Sans CJK SC"/>
        <family val="2"/>
      </rPr>
      <t xml:space="preserve">毛利增速。</t>
    </r>
  </si>
  <si>
    <r>
      <rPr>
        <sz val="10"/>
        <color rgb="FF000000"/>
        <rFont val="Arial"/>
        <family val="0"/>
        <charset val="1"/>
      </rPr>
      <t xml:space="preserve">4) 2023</t>
    </r>
    <r>
      <rPr>
        <sz val="10"/>
        <color rgb="FF000000"/>
        <rFont val="Noto Sans CJK SC"/>
        <family val="2"/>
      </rPr>
      <t xml:space="preserve">净利率高点含蓝城兄弟并表约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亿一次性收益，清洗后回落更陡。</t>
    </r>
  </si>
  <si>
    <r>
      <rPr>
        <sz val="10"/>
        <color rgb="FF000000"/>
        <rFont val="Arial"/>
        <family val="0"/>
        <charset val="1"/>
      </rPr>
      <t xml:space="preserve">5) </t>
    </r>
    <r>
      <rPr>
        <sz val="10"/>
        <color rgb="FF000000"/>
        <rFont val="Noto Sans CJK SC"/>
        <family val="2"/>
      </rPr>
      <t xml:space="preserve">头条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经调整归母</t>
    </r>
    <r>
      <rPr>
        <sz val="10"/>
        <color rgb="FF000000"/>
        <rFont val="Arial"/>
        <family val="0"/>
        <charset val="1"/>
      </rPr>
      <t xml:space="preserve">"5</t>
    </r>
    <r>
      <rPr>
        <sz val="10"/>
        <color rgb="FF000000"/>
        <rFont val="Noto Sans CJK SC"/>
        <family val="2"/>
      </rPr>
      <t xml:space="preserve">年从</t>
    </r>
    <r>
      <rPr>
        <sz val="10"/>
        <color rgb="FF000000"/>
        <rFont val="Arial"/>
        <family val="0"/>
        <charset val="1"/>
      </rPr>
      <t xml:space="preserve">0.86</t>
    </r>
    <r>
      <rPr>
        <sz val="10"/>
        <color rgb="FF000000"/>
        <rFont val="Noto Sans CJK SC"/>
        <family val="2"/>
      </rPr>
      <t xml:space="preserve">亿→</t>
    </r>
    <r>
      <rPr>
        <sz val="10"/>
        <color rgb="FF000000"/>
        <rFont val="Arial"/>
        <family val="0"/>
        <charset val="1"/>
      </rPr>
      <t xml:space="preserve">11.59</t>
    </r>
    <r>
      <rPr>
        <sz val="10"/>
        <color rgb="FF000000"/>
        <rFont val="Noto Sans CJK SC"/>
        <family val="2"/>
      </rPr>
      <t xml:space="preserve">亿</t>
    </r>
    <r>
      <rPr>
        <sz val="10"/>
        <color rgb="FF000000"/>
        <rFont val="Arial"/>
        <family val="0"/>
        <charset val="1"/>
      </rPr>
      <t xml:space="preserve">(+13</t>
    </r>
    <r>
      <rPr>
        <sz val="10"/>
        <color rgb="FF000000"/>
        <rFont val="Noto Sans CJK SC"/>
        <family val="2"/>
      </rPr>
      <t xml:space="preserve">倍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增长最快，因少数股东权益收缩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加回项放大，须与净利率趋势对照看。</t>
    </r>
  </si>
  <si>
    <r>
      <rPr>
        <sz val="10"/>
        <color rgb="FF000000"/>
        <rFont val="Arial"/>
        <family val="0"/>
        <charset val="1"/>
      </rPr>
      <t xml:space="preserve">6) </t>
    </r>
    <r>
      <rPr>
        <sz val="10"/>
        <color rgb="FF000000"/>
        <rFont val="Noto Sans CJK SC"/>
        <family val="2"/>
      </rPr>
      <t xml:space="preserve">资产负债表持续走强：资产负债率</t>
    </r>
    <r>
      <rPr>
        <sz val="10"/>
        <color rgb="FF000000"/>
        <rFont val="Arial"/>
        <family val="0"/>
        <charset val="1"/>
      </rPr>
      <t xml:space="preserve">48%(2021)→41%(2025)</t>
    </r>
    <r>
      <rPr>
        <sz val="10"/>
        <color rgb="FF000000"/>
        <rFont val="Noto Sans CJK SC"/>
        <family val="2"/>
      </rPr>
      <t xml:space="preserve">，净现金厚，构成下行安全垫。</t>
    </r>
  </si>
  <si>
    <r>
      <rPr>
        <b val="true"/>
        <sz val="13"/>
        <color rgb="FF000000"/>
        <rFont val="Arial"/>
        <family val="0"/>
        <charset val="1"/>
      </rPr>
      <t xml:space="preserve">Sensor Tower </t>
    </r>
    <r>
      <rPr>
        <b val="true"/>
        <sz val="13"/>
        <color rgb="FF000000"/>
        <rFont val="Noto Sans CJK SC"/>
        <family val="2"/>
      </rPr>
      <t xml:space="preserve">交叉验证 </t>
    </r>
    <r>
      <rPr>
        <b val="true"/>
        <sz val="13"/>
        <color rgb="FF000000"/>
        <rFont val="Arial"/>
        <family val="0"/>
        <charset val="1"/>
      </rPr>
      <t xml:space="preserve">(Newborn Town + MicroShowtime, </t>
    </r>
    <r>
      <rPr>
        <b val="true"/>
        <sz val="13"/>
        <color rgb="FF000000"/>
        <rFont val="Noto Sans CJK SC"/>
        <family val="2"/>
      </rPr>
      <t xml:space="preserve">双平台</t>
    </r>
    <r>
      <rPr>
        <b val="true"/>
        <sz val="13"/>
        <color rgb="FF000000"/>
        <rFont val="Arial"/>
        <family val="0"/>
        <charset val="1"/>
      </rPr>
      <t xml:space="preserve">)</t>
    </r>
  </si>
  <si>
    <t xml:space="preserve">数值为堆叠面积图估读(方向性可靠,非精确)｜期间Jan'25–Aug'26｜蓝字=估读输入,黑字=计算</t>
  </si>
  <si>
    <t xml:space="preserve">一、买量效率 (月均,估读)</t>
  </si>
  <si>
    <t xml:space="preserve">H2'25</t>
  </si>
  <si>
    <t xml:space="preserve">H1'26 vs H1'25</t>
  </si>
  <si>
    <t xml:space="preserve">口径</t>
  </si>
  <si>
    <t xml:space="preserve">总下载量 (百万/月)</t>
  </si>
  <si>
    <t xml:space="preserve">图1/图4</t>
  </si>
  <si>
    <r>
      <rPr>
        <sz val="10"/>
        <color rgb="FF000000"/>
        <rFont val="Arial"/>
        <family val="0"/>
        <charset val="1"/>
      </rPr>
      <t xml:space="preserve">Store</t>
    </r>
    <r>
      <rPr>
        <sz val="10"/>
        <color rgb="FF000000"/>
        <rFont val="Noto Sans CJK SC"/>
        <family val="2"/>
      </rPr>
      <t xml:space="preserve">净收入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百万美元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)</t>
    </r>
  </si>
  <si>
    <t xml:space="preserve">图2 (仅store内购)</t>
  </si>
  <si>
    <t xml:space="preserve">单下载收入 (美元)</t>
  </si>
  <si>
    <t xml:space="preserve">收入/下载,越低越差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</si>
  <si>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对照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报告总收入增速</t>
    </r>
  </si>
  <si>
    <t xml:space="preserve">财报H1口径 +37%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</si>
  <si>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对照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报告</t>
    </r>
    <r>
      <rPr>
        <sz val="10"/>
        <color rgb="FF000000"/>
        <rFont val="Arial"/>
        <family val="0"/>
        <charset val="1"/>
      </rPr>
      <t xml:space="preserve">S&amp;M</t>
    </r>
    <r>
      <rPr>
        <sz val="10"/>
        <color rgb="FF000000"/>
        <rFont val="Noto Sans CJK SC"/>
        <family val="2"/>
      </rPr>
      <t xml:space="preserve">增速</t>
    </r>
  </si>
  <si>
    <t xml:space="preserve">财报 +64%;隐含CPI约−18%</t>
  </si>
  <si>
    <t xml:space="preserve">二、口径量级差 (为何ST只是趋势代理)</t>
  </si>
  <si>
    <r>
      <rPr>
        <sz val="10"/>
        <color rgb="FF000000"/>
        <rFont val="Arial"/>
        <family val="0"/>
        <charset val="1"/>
      </rPr>
      <t xml:space="preserve">ST store</t>
    </r>
    <r>
      <rPr>
        <sz val="10"/>
        <color rgb="FF000000"/>
        <rFont val="Noto Sans CJK SC"/>
        <family val="2"/>
      </rPr>
      <t xml:space="preserve">净收入 </t>
    </r>
    <r>
      <rPr>
        <sz val="10"/>
        <color rgb="FF000000"/>
        <rFont val="Arial"/>
        <family val="0"/>
        <charset val="1"/>
      </rPr>
      <t xml:space="preserve">H1'26 (</t>
    </r>
    <r>
      <rPr>
        <sz val="10"/>
        <color rgb="FF000000"/>
        <rFont val="Noto Sans CJK SC"/>
        <family val="2"/>
      </rPr>
      <t xml:space="preserve">估</t>
    </r>
    <r>
      <rPr>
        <sz val="10"/>
        <color rgb="FF000000"/>
        <rFont val="Arial"/>
        <family val="0"/>
        <charset val="1"/>
      </rPr>
      <t xml:space="preserve">,6</t>
    </r>
    <r>
      <rPr>
        <sz val="10"/>
        <color rgb="FF000000"/>
        <rFont val="Noto Sans CJK SC"/>
        <family val="2"/>
      </rPr>
      <t xml:space="preserve">个月</t>
    </r>
    <r>
      <rPr>
        <sz val="10"/>
        <color rgb="FF000000"/>
        <rFont val="Arial"/>
        <family val="0"/>
        <charset val="1"/>
      </rPr>
      <t xml:space="preserve">)</t>
    </r>
  </si>
  <si>
    <t xml:space="preserve">结论:约87%收入在ST看不到的渠道(站外/网页充值/直播打赏直连+ST对第三方安卓/MENA低估)。→ST用于验证【增长趋势与获客效率】,不能作收入【绝对值】依据。</t>
  </si>
  <si>
    <t xml:space="preserve">报告收入 H1'26</t>
  </si>
  <si>
    <r>
      <rPr>
        <b val="true"/>
        <sz val="10"/>
        <color rgb="FF000000"/>
        <rFont val="Arial"/>
        <family val="0"/>
        <charset val="1"/>
      </rPr>
      <t xml:space="preserve">ST</t>
    </r>
    <r>
      <rPr>
        <b val="true"/>
        <sz val="10"/>
        <color rgb="FF000000"/>
        <rFont val="Noto Sans CJK SC"/>
        <family val="2"/>
      </rPr>
      <t xml:space="preserve">占报告收入比例</t>
    </r>
  </si>
  <si>
    <t xml:space="preserve">三、地域结构 (估读)</t>
  </si>
  <si>
    <t xml:space="preserve">收入 Top 市场 (图3)</t>
  </si>
  <si>
    <t xml:space="preserve">美国(第一,短剧驱动) &gt; 沙特 &gt; 土耳其 &gt; 阿联酋 &gt; 台湾/日本… ,「其他」最大→高度分散</t>
  </si>
  <si>
    <t xml:space="preserve">下载 Top 市场 (图4)</t>
  </si>
  <si>
    <t xml:space="preserve">土耳其/印度/埃及/巴基斯坦/印尼/伊拉克…新兴低ARPU市场为主</t>
  </si>
  <si>
    <t xml:space="preserve">含义</t>
  </si>
  <si>
    <t xml:space="preserve">收入端分散、美国居首→MENA集中度风险低于市场担忧(利多);下载靠新兴市场→变现滞后,land-grab特征</t>
  </si>
  <si>
    <t xml:space="preserve">四、对估值假设的影响</t>
  </si>
  <si>
    <t xml:space="preserve">• 买量效率下滑→已上调FY27/28营销费率(34%→35.5%、32%→34%),中性锚定相应下移(更审慎)。</t>
  </si>
  <si>
    <t xml:space="preserve">• 短剧(Playlet)在收入图中确成一块→创新业务成长有数据支撑,构成乐观期权。</t>
  </si>
  <si>
    <t xml:space="preserve">• 监控信号:若H2'26/H1'27收入增速加速追赶下载(翻倍)曲线=买量转投资(上修);若收入横住=跑步机(下修)。</t>
  </si>
  <si>
    <t xml:space="preserve">赤子城科技 — 内部人/关联方 DI 权益披露时间线 (2024/11–2026/07)</t>
  </si>
  <si>
    <t xml:space="preserve">数据来源:HKEX披露易DI申报｜(L)多头(S)空头｜代码:1101=市场增持,1113/1213=收购/转让,1711=董事持仓申报,1704=降至不再披露</t>
  </si>
  <si>
    <t xml:space="preserve">相关日期</t>
  </si>
  <si>
    <t xml:space="preserve">申报人</t>
  </si>
  <si>
    <t xml:space="preserve">类别</t>
  </si>
  <si>
    <t xml:space="preserve">变动股数</t>
  </si>
  <si>
    <t xml:space="preserve">成交均价</t>
  </si>
  <si>
    <t xml:space="preserve">变动后持股</t>
  </si>
  <si>
    <t xml:space="preserve">占比%</t>
  </si>
  <si>
    <t xml:space="preserve">解读</t>
  </si>
  <si>
    <t xml:space="preserve">2024/11/08</t>
  </si>
  <si>
    <t xml:space="preserve">TMF Trust</t>
  </si>
  <si>
    <r>
      <rPr>
        <sz val="10"/>
        <color rgb="FF000000"/>
        <rFont val="Arial"/>
        <family val="0"/>
        <charset val="1"/>
      </rPr>
      <t xml:space="preserve">ESOP</t>
    </r>
    <r>
      <rPr>
        <sz val="10"/>
        <color rgb="FF000000"/>
        <rFont val="Noto Sans CJK SC"/>
        <family val="2"/>
      </rPr>
      <t xml:space="preserve">信托</t>
    </r>
  </si>
  <si>
    <t xml:space="preserve">激励平台市场买入</t>
  </si>
  <si>
    <t xml:space="preserve">Three D Partners</t>
  </si>
  <si>
    <t xml:space="preserve">ESOP/RSU</t>
  </si>
  <si>
    <t xml:space="preserve">2024/11/29</t>
  </si>
  <si>
    <r>
      <rPr>
        <sz val="10"/>
        <color rgb="FF000000"/>
        <rFont val="Arial"/>
        <family val="0"/>
        <charset val="1"/>
      </rPr>
      <t xml:space="preserve">Phoenix (</t>
    </r>
    <r>
      <rPr>
        <sz val="10"/>
        <color rgb="FF000000"/>
        <rFont val="Noto Sans CJK SC"/>
        <family val="2"/>
      </rPr>
      <t xml:space="preserve">杜力系</t>
    </r>
    <r>
      <rPr>
        <sz val="10"/>
        <color rgb="FF000000"/>
        <rFont val="Arial"/>
        <family val="0"/>
        <charset val="1"/>
      </rPr>
      <t xml:space="preserve">)</t>
    </r>
  </si>
  <si>
    <t xml:space="preserve">早期投资</t>
  </si>
  <si>
    <t xml:space="preserve">降至5%以下→部分减持*</t>
  </si>
  <si>
    <t xml:space="preserve">2024/12/12</t>
  </si>
  <si>
    <t xml:space="preserve">市场买入</t>
  </si>
  <si>
    <t xml:space="preserve">2024/12/16</t>
  </si>
  <si>
    <t xml:space="preserve">2024/12/23</t>
  </si>
  <si>
    <t xml:space="preserve">刘春河 Liu</t>
  </si>
  <si>
    <t xml:space="preserve">创始人</t>
  </si>
  <si>
    <t xml:space="preserve">董事申报(1711),持平</t>
  </si>
  <si>
    <t xml:space="preserve">李平 Li Ping</t>
  </si>
  <si>
    <t xml:space="preserve">Parallel World</t>
  </si>
  <si>
    <t xml:space="preserve">创始人载体</t>
  </si>
  <si>
    <t xml:space="preserve">刘/李的持股载体</t>
  </si>
  <si>
    <t xml:space="preserve">Spriver Tech</t>
  </si>
  <si>
    <t xml:space="preserve">苏鉴 Su Jian</t>
  </si>
  <si>
    <t xml:space="preserve">米可重组@4.5(1113)</t>
  </si>
  <si>
    <t xml:space="preserve">JZZT/Travelspace/Ho Sheng</t>
  </si>
  <si>
    <t xml:space="preserve">关联载体</t>
  </si>
  <si>
    <t xml:space="preserve">米可重组@4.5(同一块)</t>
  </si>
  <si>
    <t xml:space="preserve">重组获配</t>
  </si>
  <si>
    <t xml:space="preserve">2025/01/06</t>
  </si>
  <si>
    <t xml:space="preserve">市场买入(低位)</t>
  </si>
  <si>
    <t xml:space="preserve">2025/01/08</t>
  </si>
  <si>
    <t xml:space="preserve">2025/01/15</t>
  </si>
  <si>
    <t xml:space="preserve">2025/01/16</t>
  </si>
  <si>
    <t xml:space="preserve">2025/04/09</t>
  </si>
  <si>
    <t xml:space="preserve">市场买入(加价)</t>
  </si>
  <si>
    <t xml:space="preserve">2025/04/10</t>
  </si>
  <si>
    <t xml:space="preserve">2025/06/23</t>
  </si>
  <si>
    <t xml:space="preserve">JZZT Limited</t>
  </si>
  <si>
    <t xml:space="preserve">载体间转仓(Ho Sheng→JZZT)</t>
  </si>
  <si>
    <t xml:space="preserve">2025/07/23</t>
  </si>
  <si>
    <r>
      <rPr>
        <i val="true"/>
        <sz val="9"/>
        <color rgb="FF595959"/>
        <rFont val="Arial"/>
        <family val="0"/>
        <charset val="1"/>
      </rPr>
      <t xml:space="preserve">RSU</t>
    </r>
    <r>
      <rPr>
        <i val="true"/>
        <sz val="9"/>
        <color rgb="FF595959"/>
        <rFont val="Noto Sans CJK SC"/>
        <family val="2"/>
      </rPr>
      <t xml:space="preserve">相关转让</t>
    </r>
    <r>
      <rPr>
        <i val="true"/>
        <sz val="9"/>
        <color rgb="FF595959"/>
        <rFont val="Arial"/>
        <family val="0"/>
        <charset val="1"/>
      </rPr>
      <t xml:space="preserve">(1213)</t>
    </r>
  </si>
  <si>
    <t xml:space="preserve">2025/07/25</t>
  </si>
  <si>
    <r>
      <rPr>
        <i val="true"/>
        <sz val="9"/>
        <color rgb="FF595959"/>
        <rFont val="Arial"/>
        <family val="0"/>
        <charset val="1"/>
      </rPr>
      <t xml:space="preserve">RSU</t>
    </r>
    <r>
      <rPr>
        <i val="true"/>
        <sz val="9"/>
        <color rgb="FF595959"/>
        <rFont val="Noto Sans CJK SC"/>
        <family val="2"/>
      </rPr>
      <t xml:space="preserve">归属流出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净降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</si>
  <si>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2025/11/24</t>
  </si>
  <si>
    <t xml:space="preserve">市场买入@9.38(最近成本)</t>
  </si>
  <si>
    <t xml:space="preserve">2026/07/07</t>
  </si>
  <si>
    <t xml:space="preserve">董事申报,持平(占比因回购微升)</t>
  </si>
  <si>
    <t xml:space="preserve">董事申报,持平</t>
  </si>
  <si>
    <t xml:space="preserve">叶椿建 Ye</t>
  </si>
  <si>
    <t xml:space="preserve">董事</t>
  </si>
  <si>
    <t xml:space="preserve">新增董事申报</t>
  </si>
  <si>
    <t xml:space="preserve">2026/07/22</t>
  </si>
  <si>
    <r>
      <rPr>
        <i val="true"/>
        <sz val="9"/>
        <color rgb="FF595959"/>
        <rFont val="Arial"/>
        <family val="0"/>
        <charset val="1"/>
      </rPr>
      <t xml:space="preserve">RSU</t>
    </r>
    <r>
      <rPr>
        <i val="true"/>
        <sz val="9"/>
        <color rgb="FF595959"/>
        <rFont val="Noto Sans CJK SC"/>
        <family val="2"/>
      </rPr>
      <t xml:space="preserve">相关</t>
    </r>
    <r>
      <rPr>
        <i val="true"/>
        <sz val="9"/>
        <color rgb="FF595959"/>
        <rFont val="Arial"/>
        <family val="0"/>
        <charset val="1"/>
      </rPr>
      <t xml:space="preserve">(1213)</t>
    </r>
  </si>
  <si>
    <t xml:space="preserve">2026/07/23</t>
  </si>
  <si>
    <t xml:space="preserve">关联+衍生</t>
  </si>
  <si>
    <t xml:space="preserve">另建0.86%空头/借券(S)</t>
  </si>
  <si>
    <t xml:space="preserve">读表结论</t>
  </si>
  <si>
    <t xml:space="preserve">① 创始人零买卖:刘春河/李平各24.36%、苏鉴11.37%,两年纹丝不动(占比微升仅因回购缩分母)。无一人减持——最强的一条'没人跑'信号。</t>
  </si>
  <si>
    <t xml:space="preserve">② 唯一持续买家是ESOP/RSU平台(TMF Trust+Three D),从HK$3.39一路买到9.38。这是'公司体系为员工归属买入',属技术性托底,不等于'创始人自掏腰包看好'。</t>
  </si>
  <si>
    <r>
      <rPr>
        <sz val="10"/>
        <color rgb="FF000000"/>
        <rFont val="Arial"/>
        <family val="0"/>
        <charset val="1"/>
      </rPr>
      <t xml:space="preserve">③ ESOP</t>
    </r>
    <r>
      <rPr>
        <sz val="10"/>
        <color rgb="FF000000"/>
        <rFont val="Noto Sans CJK SC"/>
        <family val="2"/>
      </rPr>
      <t xml:space="preserve">平台密集建仓在</t>
    </r>
    <r>
      <rPr>
        <sz val="10"/>
        <color rgb="FF000000"/>
        <rFont val="Arial"/>
        <family val="0"/>
        <charset val="1"/>
      </rPr>
      <t xml:space="preserve">HK$3.4–5.3(2024</t>
    </r>
    <r>
      <rPr>
        <sz val="10"/>
        <color rgb="FF000000"/>
        <rFont val="Noto Sans CJK SC"/>
        <family val="2"/>
      </rPr>
      <t xml:space="preserve">末–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初</t>
    </r>
    <r>
      <rPr>
        <sz val="10"/>
        <color rgb="FF000000"/>
        <rFont val="Arial"/>
        <family val="0"/>
        <charset val="1"/>
      </rPr>
      <t xml:space="preserve">),</t>
    </r>
    <r>
      <rPr>
        <sz val="10"/>
        <color rgb="FF000000"/>
        <rFont val="Noto Sans CJK SC"/>
        <family val="2"/>
      </rPr>
      <t xml:space="preserve">最近一次市场买入是</t>
    </r>
    <r>
      <rPr>
        <sz val="10"/>
        <color rgb="FF000000"/>
        <rFont val="Arial"/>
        <family val="0"/>
        <charset val="1"/>
      </rPr>
      <t xml:space="preserve">2025/11 @HK$9.38——</t>
    </r>
    <r>
      <rPr>
        <sz val="10"/>
        <color rgb="FF000000"/>
        <rFont val="Noto Sans CJK SC"/>
        <family val="2"/>
      </rPr>
      <t xml:space="preserve">这是内部体系认可的最近成本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现价</t>
    </r>
    <r>
      <rPr>
        <sz val="10"/>
        <color rgb="FF000000"/>
        <rFont val="Arial"/>
        <family val="0"/>
        <charset val="1"/>
      </rPr>
      <t xml:space="preserve">~9</t>
    </r>
    <r>
      <rPr>
        <sz val="10"/>
        <color rgb="FF000000"/>
        <rFont val="Noto Sans CJK SC"/>
        <family val="2"/>
      </rPr>
      <t xml:space="preserve">刚好在其下方。</t>
    </r>
  </si>
  <si>
    <t xml:space="preserve">④ 唯一的减持痕迹是早期投资Phoenix(杜力系)一只载体降到4.99%;但杜力系整体仍持约8.9%,属载体层面调整,非清仓。</t>
  </si>
  <si>
    <r>
      <rPr>
        <sz val="10"/>
        <color rgb="FF000000"/>
        <rFont val="Arial"/>
        <family val="0"/>
        <charset val="1"/>
      </rPr>
      <t xml:space="preserve">⑤ 2026/07 JZZT</t>
    </r>
    <r>
      <rPr>
        <sz val="10"/>
        <color rgb="FF000000"/>
        <rFont val="Noto Sans CJK SC"/>
        <family val="2"/>
      </rPr>
      <t xml:space="preserve">另建</t>
    </r>
    <r>
      <rPr>
        <sz val="10"/>
        <color rgb="FF000000"/>
        <rFont val="Arial"/>
        <family val="0"/>
        <charset val="1"/>
      </rPr>
      <t xml:space="preserve">0.86%</t>
    </r>
    <r>
      <rPr>
        <sz val="10"/>
        <color rgb="FF000000"/>
        <rFont val="Noto Sans CJK SC"/>
        <family val="2"/>
      </rPr>
      <t xml:space="preserve">空头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借券</t>
    </r>
    <r>
      <rPr>
        <sz val="10"/>
        <color rgb="FF000000"/>
        <rFont val="Arial"/>
        <family val="0"/>
        <charset val="1"/>
      </rPr>
      <t xml:space="preserve">),</t>
    </r>
    <r>
      <rPr>
        <sz val="10"/>
        <color rgb="FF000000"/>
        <rFont val="Noto Sans CJK SC"/>
        <family val="2"/>
      </rPr>
      <t xml:space="preserve">金额小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多为对冲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结构性安排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非看空基本面。</t>
    </r>
  </si>
  <si>
    <t xml:space="preserve">★ 综合:内部人结构=创始人锁死+ESOP持续买入托底+早期资金边际微调,无实质派发。这是偏正面的所有权信号,但别把ESOP买入误读成创始人增持。</t>
  </si>
  <si>
    <r>
      <rPr>
        <i val="true"/>
        <sz val="9"/>
        <color rgb="FF595959"/>
        <rFont val="Arial"/>
        <family val="0"/>
        <charset val="1"/>
      </rPr>
      <t xml:space="preserve">*</t>
    </r>
    <r>
      <rPr>
        <i val="true"/>
        <sz val="9"/>
        <color rgb="FF595959"/>
        <rFont val="Noto Sans CJK SC"/>
        <family val="2"/>
      </rPr>
      <t xml:space="preserve">注</t>
    </r>
    <r>
      <rPr>
        <i val="true"/>
        <sz val="9"/>
        <color rgb="FF595959"/>
        <rFont val="Arial"/>
        <family val="0"/>
        <charset val="1"/>
      </rPr>
      <t xml:space="preserve">:Phoenix</t>
    </r>
    <r>
      <rPr>
        <i val="true"/>
        <sz val="9"/>
        <color rgb="FF595959"/>
        <rFont val="Noto Sans CJK SC"/>
        <family val="2"/>
      </rPr>
      <t xml:space="preserve">单一载体降至</t>
    </r>
    <r>
      <rPr>
        <i val="true"/>
        <sz val="9"/>
        <color rgb="FF595959"/>
        <rFont val="Arial"/>
        <family val="0"/>
        <charset val="1"/>
      </rPr>
      <t xml:space="preserve">4.99%</t>
    </r>
    <r>
      <rPr>
        <i val="true"/>
        <sz val="9"/>
        <color rgb="FF595959"/>
        <rFont val="Noto Sans CJK SC"/>
        <family val="2"/>
      </rPr>
      <t xml:space="preserve">为降破披露线</t>
    </r>
    <r>
      <rPr>
        <i val="true"/>
        <sz val="9"/>
        <color rgb="FF595959"/>
        <rFont val="Arial"/>
        <family val="0"/>
        <charset val="1"/>
      </rPr>
      <t xml:space="preserve">,</t>
    </r>
    <r>
      <rPr>
        <i val="true"/>
        <sz val="9"/>
        <color rgb="FF595959"/>
        <rFont val="Noto Sans CJK SC"/>
        <family val="2"/>
      </rPr>
      <t xml:space="preserve">非集团清仓</t>
    </r>
    <r>
      <rPr>
        <i val="true"/>
        <sz val="9"/>
        <color rgb="FF595959"/>
        <rFont val="Arial"/>
        <family val="0"/>
        <charset val="1"/>
      </rPr>
      <t xml:space="preserve">;</t>
    </r>
    <r>
      <rPr>
        <i val="true"/>
        <sz val="9"/>
        <color rgb="FF595959"/>
        <rFont val="Noto Sans CJK SC"/>
        <family val="2"/>
      </rPr>
      <t xml:space="preserve">载体间转仓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如</t>
    </r>
    <r>
      <rPr>
        <i val="true"/>
        <sz val="9"/>
        <color rgb="FF595959"/>
        <rFont val="Arial"/>
        <family val="0"/>
        <charset val="1"/>
      </rPr>
      <t xml:space="preserve">Ho Sheng→JZZT)</t>
    </r>
    <r>
      <rPr>
        <i val="true"/>
        <sz val="9"/>
        <color rgb="FF595959"/>
        <rFont val="Noto Sans CJK SC"/>
        <family val="2"/>
      </rPr>
      <t xml:space="preserve">不改变实际控制。</t>
    </r>
  </si>
  <si>
    <t xml:space="preserve">赤子城科技 — 持股结构 1年演变 (2025/08 → 2026/08)</t>
  </si>
  <si>
    <t xml:space="preserve">持股量(股)｜蓝字=快照实际｜黑字=公式｜关键:2025两列无南向线(入通前),2026/3入通后南向从0→11%</t>
  </si>
  <si>
    <t xml:space="preserve">参与者</t>
  </si>
  <si>
    <t xml:space="preserve">类型</t>
  </si>
  <si>
    <t xml:space="preserve">2025/08/27</t>
  </si>
  <si>
    <t xml:space="preserve">2025/12/31</t>
  </si>
  <si>
    <t xml:space="preserve">2026/08/26</t>
  </si>
  <si>
    <t xml:space="preserve">占比 now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</si>
  <si>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年变动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股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</si>
  <si>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汇丰 HSBC</t>
  </si>
  <si>
    <t xml:space="preserve">托管</t>
  </si>
  <si>
    <t xml:space="preserve">年末曾冲26.7%(入通/年末托管集中)后回落</t>
  </si>
  <si>
    <t xml:space="preserve">富途 Futu</t>
  </si>
  <si>
    <t xml:space="preserve">散户</t>
  </si>
  <si>
    <t xml:space="preserve">全年'焊死'在14%±,散户基数不增不减</t>
  </si>
  <si>
    <t xml:space="preserve">摩根士丹利 MS</t>
  </si>
  <si>
    <t xml:space="preserve">投行PB</t>
  </si>
  <si>
    <t xml:space="preserve">稳定~11.5%大块,疑似基金/swap</t>
  </si>
  <si>
    <t xml:space="preserve">中金 CICC</t>
  </si>
  <si>
    <t xml:space="preserve">中资投行</t>
  </si>
  <si>
    <t xml:space="preserve">核心锁仓,全年小幅回落仍锁死</t>
  </si>
  <si>
    <t xml:space="preserve">花旗 Citi</t>
  </si>
  <si>
    <t xml:space="preserve">全年净减~4700万→西方托管在撤</t>
  </si>
  <si>
    <t xml:space="preserve">高盛 GS</t>
  </si>
  <si>
    <t xml:space="preserve">核心锁仓,基本稳定</t>
  </si>
  <si>
    <t xml:space="preserve">华泰 Huatai</t>
  </si>
  <si>
    <t xml:space="preserve">中资券商</t>
  </si>
  <si>
    <t xml:space="preserve">波动,无趋势</t>
  </si>
  <si>
    <t xml:space="preserve">中银香港</t>
  </si>
  <si>
    <t xml:space="preserve">缓降</t>
  </si>
  <si>
    <t xml:space="preserve">UBS</t>
  </si>
  <si>
    <t xml:space="preserve">全年从1850万一路减到550万→持续卖方</t>
  </si>
  <si>
    <t xml:space="preserve">法巴 BNP</t>
  </si>
  <si>
    <t xml:space="preserve">持续减</t>
  </si>
  <si>
    <t xml:space="preserve">盈透 IB</t>
  </si>
  <si>
    <t xml:space="preserve">散户,波动</t>
  </si>
  <si>
    <t xml:space="preserve">南向 港股通 (A3+A4)</t>
  </si>
  <si>
    <t xml:space="preserve">南向</t>
  </si>
  <si>
    <t xml:space="preserve">★入通后从0→11%:全年最大结构变化,新增内地买盘~1.55亿股</t>
  </si>
  <si>
    <t xml:space="preserve">已发行股份(约)</t>
  </si>
  <si>
    <t xml:space="preserve">回购注销:14.13亿→14.01亿(−0.8%)</t>
  </si>
  <si>
    <t xml:space="preserve">一年结构演变:三条主线</t>
  </si>
  <si>
    <t xml:space="preserve">① 【买盘换血】过去一年最大的结构变化是:入通带来南向从0→11%(约1.55亿股全新内地买盘);与此同时西方托管在撤——花旗−4700万、UBS−1300万、法巴持续减。买家结构显著'内地化'。</t>
  </si>
  <si>
    <t xml:space="preserve">② 【核心锁死】创始人/战略锁仓的中金、高盛、MS三条大线全年基本稳定(11%/7.7%/11.5%),约40–50%死筹一年没松动;富途(散户)全年焊死在14%。锁仓+稳定散户≈六成筹码一年未动。</t>
  </si>
  <si>
    <t xml:space="preserve">③ 【关键背离】过去一年南向净买入约11%(1.55亿股),股价却从~14跌到~9。结论:这11%新买盘不是推涨力量,而是在【承接抛盘】——被年末HSBC那笔170万股异动的回吐、花旗/UBS的减持、以及早期获利盘消化掉了。'有资金流入≠会涨',这是最重要的一课:净流入被等量的派发吃掉了。</t>
  </si>
  <si>
    <t xml:space="preserve">④ 含义:赤子城的边际定价权正从西方机构转向南向(内地),而南向更偏情绪/动量,叠加薄流通→未来波动会更依赖内地情绪,而非西方长线资金。这强化了'流动性/控盘风险'的判断。</t>
  </si>
  <si>
    <r>
      <rPr>
        <b val="true"/>
        <sz val="13"/>
        <color rgb="FF000000"/>
        <rFont val="Noto Sans CJK SC"/>
        <family val="2"/>
      </rPr>
      <t xml:space="preserve">赤子城 — </t>
    </r>
    <r>
      <rPr>
        <b val="true"/>
        <sz val="13"/>
        <color rgb="FF000000"/>
        <rFont val="Arial"/>
        <family val="0"/>
        <charset val="1"/>
      </rPr>
      <t xml:space="preserve">CCASS </t>
    </r>
    <r>
      <rPr>
        <b val="true"/>
        <sz val="13"/>
        <color rgb="FF000000"/>
        <rFont val="Noto Sans CJK SC"/>
        <family val="2"/>
      </rPr>
      <t xml:space="preserve">逐日追踪 </t>
    </r>
    <r>
      <rPr>
        <b val="true"/>
        <sz val="13"/>
        <color rgb="FF000000"/>
        <rFont val="Arial"/>
        <family val="0"/>
        <charset val="1"/>
      </rPr>
      <t xml:space="preserve">8/22–9/9 (</t>
    </r>
    <r>
      <rPr>
        <b val="true"/>
        <sz val="13"/>
        <color rgb="FF000000"/>
        <rFont val="Noto Sans CJK SC"/>
        <family val="2"/>
      </rPr>
      <t xml:space="preserve">中报</t>
    </r>
    <r>
      <rPr>
        <b val="true"/>
        <sz val="13"/>
        <color rgb="FF000000"/>
        <rFont val="Arial"/>
        <family val="0"/>
        <charset val="1"/>
      </rPr>
      <t xml:space="preserve">8/25</t>
    </r>
    <r>
      <rPr>
        <b val="true"/>
        <sz val="13"/>
        <color rgb="FF000000"/>
        <rFont val="Noto Sans CJK SC"/>
        <family val="2"/>
      </rPr>
      <t xml:space="preserve">盘后 </t>
    </r>
    <r>
      <rPr>
        <b val="true"/>
        <sz val="13"/>
        <color rgb="FF000000"/>
        <rFont val="Arial"/>
        <family val="0"/>
        <charset val="1"/>
      </rPr>
      <t xml:space="preserve">· T+2</t>
    </r>
    <r>
      <rPr>
        <b val="true"/>
        <sz val="13"/>
        <color rgb="FF000000"/>
        <rFont val="Noto Sans CJK SC"/>
        <family val="2"/>
      </rPr>
      <t xml:space="preserve">口径 </t>
    </r>
    <r>
      <rPr>
        <b val="true"/>
        <sz val="13"/>
        <color rgb="FF000000"/>
        <rFont val="Arial"/>
        <family val="0"/>
        <charset val="1"/>
      </rPr>
      <t xml:space="preserve">· </t>
    </r>
    <r>
      <rPr>
        <b val="true"/>
        <sz val="13"/>
        <color rgb="FF000000"/>
        <rFont val="Noto Sans CJK SC"/>
        <family val="2"/>
      </rPr>
      <t xml:space="preserve">完整弧线</t>
    </r>
    <r>
      <rPr>
        <b val="true"/>
        <sz val="13"/>
        <color rgb="FF00000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</si>
  <si>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10</t>
    </r>
    <r>
      <rPr>
        <i val="true"/>
        <sz val="9"/>
        <color rgb="FF595959"/>
        <rFont val="Noto Sans CJK SC"/>
        <family val="2"/>
      </rPr>
      <t xml:space="preserve">个快照｜蓝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Noto Sans CJK SC"/>
        <family val="2"/>
      </rPr>
      <t xml:space="preserve">实际｜黑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Noto Sans CJK SC"/>
        <family val="2"/>
      </rPr>
      <t xml:space="preserve">公式｜阶段</t>
    </r>
    <r>
      <rPr>
        <i val="true"/>
        <sz val="9"/>
        <color rgb="FF595959"/>
        <rFont val="Arial"/>
        <family val="0"/>
        <charset val="1"/>
      </rPr>
      <t xml:space="preserve">:</t>
    </r>
    <r>
      <rPr>
        <i val="true"/>
        <sz val="9"/>
        <color rgb="FF595959"/>
        <rFont val="Noto Sans CJK SC"/>
        <family val="2"/>
      </rPr>
      <t xml:space="preserve">派发→衰竭→承接→买盘扩散</t>
    </r>
  </si>
  <si>
    <t xml:space="preserve">8/22</t>
  </si>
  <si>
    <t xml:space="preserve">8/24</t>
  </si>
  <si>
    <t xml:space="preserve">8/25</t>
  </si>
  <si>
    <t xml:space="preserve">8/26</t>
  </si>
  <si>
    <t xml:space="preserve">8/27</t>
  </si>
  <si>
    <t xml:space="preserve">8/29</t>
  </si>
  <si>
    <t xml:space="preserve">8/31</t>
  </si>
  <si>
    <t xml:space="preserve">9/3</t>
  </si>
  <si>
    <t xml:space="preserve">9/8</t>
  </si>
  <si>
    <t xml:space="preserve">9/9</t>
  </si>
  <si>
    <r>
      <rPr>
        <b val="true"/>
        <sz val="11"/>
        <color rgb="FFFFFFFF"/>
        <rFont val="Noto Sans CJK SC"/>
        <family val="2"/>
      </rPr>
      <t xml:space="preserve">期间</t>
    </r>
    <r>
      <rPr>
        <b val="true"/>
        <sz val="11"/>
        <color rgb="FFFFFFFF"/>
        <rFont val="Arial"/>
        <family val="0"/>
        <charset val="1"/>
      </rPr>
      <t xml:space="preserve">Δ</t>
    </r>
  </si>
  <si>
    <t xml:space="preserve">分类</t>
  </si>
  <si>
    <r>
      <rPr>
        <sz val="10"/>
        <color rgb="FF000000"/>
        <rFont val="Noto Sans CJK SC"/>
        <family val="2"/>
      </rPr>
      <t xml:space="preserve">汇丰 </t>
    </r>
    <r>
      <rPr>
        <sz val="10"/>
        <color rgb="FF000000"/>
        <rFont val="Arial"/>
        <family val="0"/>
        <charset val="1"/>
      </rPr>
      <t xml:space="preserve">HSBC</t>
    </r>
  </si>
  <si>
    <t xml:space="preserve">活</t>
  </si>
  <si>
    <r>
      <rPr>
        <sz val="10"/>
        <color rgb="FF000000"/>
        <rFont val="Noto Sans CJK SC"/>
        <family val="2"/>
      </rPr>
      <t xml:space="preserve">富途 </t>
    </r>
    <r>
      <rPr>
        <sz val="10"/>
        <color rgb="FF000000"/>
        <rFont val="Arial"/>
        <family val="0"/>
        <charset val="1"/>
      </rPr>
      <t xml:space="preserve">Futu</t>
    </r>
  </si>
  <si>
    <t xml:space="preserve">活散户</t>
  </si>
  <si>
    <r>
      <rPr>
        <sz val="10"/>
        <color rgb="FF000000"/>
        <rFont val="Noto Sans CJK SC"/>
        <family val="2"/>
      </rPr>
      <t xml:space="preserve">摩根士丹利 </t>
    </r>
    <r>
      <rPr>
        <sz val="10"/>
        <color rgb="FF000000"/>
        <rFont val="Arial"/>
        <family val="0"/>
        <charset val="1"/>
      </rPr>
      <t xml:space="preserve">MS</t>
    </r>
  </si>
  <si>
    <t xml:space="preserve">PB</t>
  </si>
  <si>
    <r>
      <rPr>
        <sz val="10"/>
        <color rgb="FF000000"/>
        <rFont val="Noto Sans CJK SC"/>
        <family val="2"/>
      </rPr>
      <t xml:space="preserve">活</t>
    </r>
    <r>
      <rPr>
        <sz val="10"/>
        <color rgb="FF000000"/>
        <rFont val="Arial"/>
        <family val="0"/>
        <charset val="1"/>
      </rPr>
      <t xml:space="preserve">PB</t>
    </r>
  </si>
  <si>
    <r>
      <rPr>
        <sz val="10"/>
        <color rgb="FF000000"/>
        <rFont val="Noto Sans CJK SC"/>
        <family val="2"/>
      </rPr>
      <t xml:space="preserve">中金 </t>
    </r>
    <r>
      <rPr>
        <sz val="10"/>
        <color rgb="FF000000"/>
        <rFont val="Arial"/>
        <family val="0"/>
        <charset val="1"/>
      </rPr>
      <t xml:space="preserve">CICC</t>
    </r>
  </si>
  <si>
    <t xml:space="preserve">死冻结</t>
  </si>
  <si>
    <r>
      <rPr>
        <sz val="10"/>
        <color rgb="FF000000"/>
        <rFont val="Noto Sans CJK SC"/>
        <family val="2"/>
      </rPr>
      <t xml:space="preserve">高盛 </t>
    </r>
    <r>
      <rPr>
        <sz val="10"/>
        <color rgb="FF000000"/>
        <rFont val="Arial"/>
        <family val="0"/>
        <charset val="1"/>
      </rPr>
      <t xml:space="preserve">GS</t>
    </r>
  </si>
  <si>
    <r>
      <rPr>
        <sz val="10"/>
        <color rgb="FF000000"/>
        <rFont val="Noto Sans CJK SC"/>
        <family val="2"/>
      </rPr>
      <t xml:space="preserve">花旗 </t>
    </r>
    <r>
      <rPr>
        <sz val="10"/>
        <color rgb="FF000000"/>
        <rFont val="Arial"/>
        <family val="0"/>
        <charset val="1"/>
      </rPr>
      <t xml:space="preserve">Citi</t>
    </r>
  </si>
  <si>
    <r>
      <rPr>
        <sz val="10"/>
        <color rgb="FF000000"/>
        <rFont val="Noto Sans CJK SC"/>
        <family val="2"/>
      </rPr>
      <t xml:space="preserve">活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反转买家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</si>
  <si>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南向 </t>
    </r>
    <r>
      <rPr>
        <sz val="10"/>
        <color rgb="FF000000"/>
        <rFont val="Arial"/>
        <family val="0"/>
        <charset val="1"/>
      </rPr>
      <t xml:space="preserve">A00004</t>
    </r>
  </si>
  <si>
    <r>
      <rPr>
        <sz val="10"/>
        <color rgb="FF000000"/>
        <rFont val="Noto Sans CJK SC"/>
        <family val="2"/>
      </rPr>
      <t xml:space="preserve">南向 </t>
    </r>
    <r>
      <rPr>
        <sz val="10"/>
        <color rgb="FF000000"/>
        <rFont val="Arial"/>
        <family val="0"/>
        <charset val="1"/>
      </rPr>
      <t xml:space="preserve">A00003</t>
    </r>
  </si>
  <si>
    <r>
      <rPr>
        <sz val="10"/>
        <color rgb="FF000000"/>
        <rFont val="Noto Sans CJK SC"/>
        <family val="2"/>
      </rPr>
      <t xml:space="preserve">华泰 </t>
    </r>
    <r>
      <rPr>
        <sz val="10"/>
        <color rgb="FF000000"/>
        <rFont val="Arial"/>
        <family val="0"/>
        <charset val="1"/>
      </rPr>
      <t xml:space="preserve">Huatai</t>
    </r>
  </si>
  <si>
    <t xml:space="preserve">★持续买家</t>
  </si>
  <si>
    <t xml:space="preserve">半死</t>
  </si>
  <si>
    <r>
      <rPr>
        <sz val="10"/>
        <color rgb="FF000000"/>
        <rFont val="Noto Sans CJK SC"/>
        <family val="2"/>
      </rPr>
      <t xml:space="preserve">法巴 </t>
    </r>
    <r>
      <rPr>
        <sz val="10"/>
        <color rgb="FF000000"/>
        <rFont val="Arial"/>
        <family val="0"/>
        <charset val="1"/>
      </rPr>
      <t xml:space="preserve">BNP</t>
    </r>
  </si>
  <si>
    <r>
      <rPr>
        <sz val="10"/>
        <color rgb="FF000000"/>
        <rFont val="Noto Sans CJK SC"/>
        <family val="2"/>
      </rPr>
      <t xml:space="preserve">盈透 </t>
    </r>
    <r>
      <rPr>
        <sz val="10"/>
        <color rgb="FF000000"/>
        <rFont val="Arial"/>
        <family val="0"/>
        <charset val="1"/>
      </rPr>
      <t xml:space="preserve">IB</t>
    </r>
  </si>
  <si>
    <r>
      <rPr>
        <sz val="10"/>
        <color rgb="FF000000"/>
        <rFont val="Noto Sans CJK SC"/>
        <family val="2"/>
      </rPr>
      <t xml:space="preserve">活散户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近期买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</si>
  <si>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美银美林 </t>
    </r>
    <r>
      <rPr>
        <sz val="10"/>
        <color rgb="FF000000"/>
        <rFont val="Arial"/>
        <family val="0"/>
        <charset val="1"/>
      </rPr>
      <t xml:space="preserve">ML</t>
    </r>
  </si>
  <si>
    <r>
      <rPr>
        <sz val="10"/>
        <color rgb="FF000000"/>
        <rFont val="Noto Sans CJK SC"/>
        <family val="2"/>
      </rPr>
      <t xml:space="preserve">活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转买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</si>
  <si>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摩根大通 </t>
    </r>
    <r>
      <rPr>
        <sz val="10"/>
        <color rgb="FF000000"/>
        <rFont val="Arial"/>
        <family val="0"/>
        <charset val="1"/>
      </rPr>
      <t xml:space="preserve">JPM</t>
    </r>
  </si>
  <si>
    <t xml:space="preserve">噪声</t>
  </si>
  <si>
    <r>
      <rPr>
        <i val="true"/>
        <sz val="9"/>
        <color rgb="FF595959"/>
        <rFont val="Arial"/>
        <family val="0"/>
        <charset val="1"/>
      </rPr>
      <t xml:space="preserve">*JPM 8/27</t>
    </r>
    <r>
      <rPr>
        <i val="true"/>
        <sz val="9"/>
        <color rgb="FF595959"/>
        <rFont val="Noto Sans CJK SC"/>
        <family val="2"/>
      </rPr>
      <t xml:space="preserve">脉冲</t>
    </r>
    <r>
      <rPr>
        <i val="true"/>
        <sz val="9"/>
        <color rgb="FF595959"/>
        <rFont val="Arial"/>
        <family val="0"/>
        <charset val="1"/>
      </rPr>
      <t xml:space="preserve">8/29</t>
    </r>
    <r>
      <rPr>
        <i val="true"/>
        <sz val="9"/>
        <color rgb="FF595959"/>
        <rFont val="Noto Sans CJK SC"/>
        <family val="2"/>
      </rPr>
      <t xml:space="preserve">归零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Noto Sans CJK SC"/>
        <family val="2"/>
      </rPr>
      <t xml:space="preserve">典型交收噪声</t>
    </r>
    <r>
      <rPr>
        <i val="true"/>
        <sz val="9"/>
        <color rgb="FF595959"/>
        <rFont val="Arial"/>
        <family val="0"/>
        <charset val="1"/>
      </rPr>
      <t xml:space="preserve">,</t>
    </r>
    <r>
      <rPr>
        <i val="true"/>
        <sz val="9"/>
        <color rgb="FF595959"/>
        <rFont val="Noto Sans CJK SC"/>
        <family val="2"/>
      </rPr>
      <t xml:space="preserve">勿单日过度解读</t>
    </r>
  </si>
  <si>
    <t xml:space="preserve">汇总指标</t>
  </si>
  <si>
    <t xml:space="preserve">净变动</t>
  </si>
  <si>
    <r>
      <rPr>
        <sz val="10"/>
        <color rgb="FF000000"/>
        <rFont val="Noto Sans CJK SC"/>
        <family val="2"/>
      </rPr>
      <t xml:space="preserve">已发行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约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</si>
  <si>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南向持股 </t>
    </r>
    <r>
      <rPr>
        <b val="true"/>
        <sz val="10"/>
        <color rgb="FF000000"/>
        <rFont val="Arial"/>
        <family val="0"/>
        <charset val="1"/>
      </rPr>
      <t xml:space="preserve">%</t>
    </r>
  </si>
  <si>
    <r>
      <rPr>
        <sz val="10"/>
        <color rgb="FF000000"/>
        <rFont val="Noto Sans CJK SC"/>
        <family val="2"/>
      </rPr>
      <t xml:space="preserve">前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大集中度 </t>
    </r>
    <r>
      <rPr>
        <sz val="10"/>
        <color rgb="FF000000"/>
        <rFont val="Arial"/>
        <family val="0"/>
        <charset val="1"/>
      </rPr>
      <t xml:space="preserve">%</t>
    </r>
  </si>
  <si>
    <r>
      <rPr>
        <b val="true"/>
        <sz val="11"/>
        <color rgb="FFFFFFFF"/>
        <rFont val="Noto Sans CJK SC"/>
        <family val="2"/>
      </rPr>
      <t xml:space="preserve">逐日净流向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按类别</t>
    </r>
    <r>
      <rPr>
        <b val="true"/>
        <sz val="11"/>
        <color rgb="FFFFFFFF"/>
        <rFont val="Arial"/>
        <family val="0"/>
        <charset val="1"/>
      </rPr>
      <t xml:space="preserve">,</t>
    </r>
    <r>
      <rPr>
        <b val="true"/>
        <sz val="11"/>
        <color rgb="FFFFFFFF"/>
        <rFont val="Noto Sans CJK SC"/>
        <family val="2"/>
      </rPr>
      <t xml:space="preserve">单位</t>
    </r>
    <r>
      <rPr>
        <b val="true"/>
        <sz val="11"/>
        <color rgb="FFFFFFFF"/>
        <rFont val="Arial"/>
        <family val="0"/>
        <charset val="1"/>
      </rPr>
      <t xml:space="preserve">:</t>
    </r>
    <r>
      <rPr>
        <b val="true"/>
        <sz val="11"/>
        <color rgb="FFFFFFFF"/>
        <rFont val="Noto Sans CJK SC"/>
        <family val="2"/>
      </rPr>
      <t xml:space="preserve">万股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</si>
  <si>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累计</t>
    </r>
    <r>
      <rPr>
        <b val="true"/>
        <sz val="10"/>
        <color rgb="FF000000"/>
        <rFont val="Arial"/>
        <family val="0"/>
        <charset val="1"/>
      </rPr>
      <t xml:space="preserve">Δ</t>
    </r>
  </si>
  <si>
    <t xml:space="preserve">角色</t>
  </si>
  <si>
    <r>
      <rPr>
        <b val="true"/>
        <sz val="10"/>
        <color rgb="FF000000"/>
        <rFont val="Noto Sans CJK SC"/>
        <family val="2"/>
      </rPr>
      <t xml:space="preserve">★南向</t>
    </r>
    <r>
      <rPr>
        <b val="true"/>
        <sz val="10"/>
        <color rgb="FF000000"/>
        <rFont val="Arial"/>
        <family val="0"/>
        <charset val="1"/>
      </rPr>
      <t xml:space="preserve">(A3+A4)</t>
    </r>
  </si>
  <si>
    <r>
      <rPr>
        <i val="true"/>
        <sz val="9"/>
        <color rgb="FF595959"/>
        <rFont val="Arial"/>
        <family val="0"/>
        <charset val="1"/>
      </rPr>
      <t xml:space="preserve">swing</t>
    </r>
    <r>
      <rPr>
        <i val="true"/>
        <sz val="9"/>
        <color rgb="FF595959"/>
        <rFont val="Noto Sans CJK SC"/>
        <family val="2"/>
      </rPr>
      <t xml:space="preserve">因子</t>
    </r>
  </si>
  <si>
    <t xml:space="preserve">★华泰</t>
  </si>
  <si>
    <t xml:space="preserve">持续买家</t>
  </si>
  <si>
    <r>
      <rPr>
        <sz val="10"/>
        <color rgb="FF000000"/>
        <rFont val="Noto Sans CJK SC"/>
        <family val="2"/>
      </rPr>
      <t xml:space="preserve">花旗</t>
    </r>
    <r>
      <rPr>
        <sz val="10"/>
        <color rgb="FF000000"/>
        <rFont val="Arial"/>
        <family val="0"/>
        <charset val="1"/>
      </rPr>
      <t xml:space="preserve">Citi</t>
    </r>
  </si>
  <si>
    <t xml:space="preserve">卖压→反转</t>
  </si>
  <si>
    <r>
      <rPr>
        <sz val="10"/>
        <color rgb="FF000000"/>
        <rFont val="Arial"/>
        <family val="0"/>
        <charset val="1"/>
      </rPr>
      <t xml:space="preserve">PB</t>
    </r>
    <r>
      <rPr>
        <sz val="10"/>
        <color rgb="FF000000"/>
        <rFont val="Noto Sans CJK SC"/>
        <family val="2"/>
      </rPr>
      <t xml:space="preserve">活跃</t>
    </r>
    <r>
      <rPr>
        <sz val="10"/>
        <color rgb="FF000000"/>
        <rFont val="Arial"/>
        <family val="0"/>
        <charset val="1"/>
      </rPr>
      <t xml:space="preserve">(MS/UBS/BNP/ML/JPM)</t>
    </r>
  </si>
  <si>
    <r>
      <rPr>
        <i val="true"/>
        <sz val="9"/>
        <color rgb="FF595959"/>
        <rFont val="Noto Sans CJK SC"/>
        <family val="2"/>
      </rPr>
      <t xml:space="preserve">对冲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机构</t>
    </r>
  </si>
  <si>
    <r>
      <rPr>
        <sz val="10"/>
        <color rgb="FF000000"/>
        <rFont val="Noto Sans CJK SC"/>
        <family val="2"/>
      </rPr>
      <t xml:space="preserve">散户</t>
    </r>
    <r>
      <rPr>
        <sz val="10"/>
        <color rgb="FF000000"/>
        <rFont val="Arial"/>
        <family val="0"/>
        <charset val="1"/>
      </rPr>
      <t xml:space="preserve">(Futu+IB)</t>
    </r>
  </si>
  <si>
    <t xml:space="preserve">情绪</t>
  </si>
  <si>
    <r>
      <rPr>
        <sz val="10"/>
        <color rgb="FF000000"/>
        <rFont val="Noto Sans CJK SC"/>
        <family val="2"/>
      </rPr>
      <t xml:space="preserve">汇丰</t>
    </r>
    <r>
      <rPr>
        <sz val="10"/>
        <color rgb="FF000000"/>
        <rFont val="Arial"/>
        <family val="0"/>
        <charset val="1"/>
      </rPr>
      <t xml:space="preserve">HSBC(</t>
    </r>
    <r>
      <rPr>
        <sz val="10"/>
        <color rgb="FF000000"/>
        <rFont val="Noto Sans CJK SC"/>
        <family val="2"/>
      </rPr>
      <t xml:space="preserve">托管</t>
    </r>
    <r>
      <rPr>
        <sz val="10"/>
        <color rgb="FF000000"/>
        <rFont val="Arial"/>
        <family val="0"/>
        <charset val="1"/>
      </rPr>
      <t xml:space="preserve">)</t>
    </r>
  </si>
  <si>
    <t xml:space="preserve">混合口径</t>
  </si>
  <si>
    <r>
      <rPr>
        <b val="true"/>
        <sz val="11"/>
        <color rgb="FFFFFFFF"/>
        <rFont val="Noto Sans CJK SC"/>
        <family val="2"/>
      </rPr>
      <t xml:space="preserve">股价与阶段</t>
    </r>
    <r>
      <rPr>
        <b val="true"/>
        <sz val="11"/>
        <color rgb="FFFFFFFF"/>
        <rFont val="Arial"/>
        <family val="0"/>
        <charset val="1"/>
      </rPr>
      <t xml:space="preserve">(HK$,</t>
    </r>
    <r>
      <rPr>
        <b val="true"/>
        <sz val="11"/>
        <color rgb="FFFFFFFF"/>
        <rFont val="Noto Sans CJK SC"/>
        <family val="2"/>
      </rPr>
      <t xml:space="preserve">约估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</si>
  <si>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日期</t>
  </si>
  <si>
    <r>
      <rPr>
        <sz val="10"/>
        <color rgb="FF000000"/>
        <rFont val="Noto Sans CJK SC"/>
        <family val="2"/>
      </rPr>
      <t xml:space="preserve">收盘价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约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</si>
  <si>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注</t>
    </r>
    <r>
      <rPr>
        <i val="true"/>
        <sz val="9"/>
        <color rgb="FF595959"/>
        <rFont val="Arial"/>
        <family val="0"/>
        <charset val="1"/>
      </rPr>
      <t xml:space="preserve">:8/22–9/8</t>
    </r>
    <r>
      <rPr>
        <i val="true"/>
        <sz val="9"/>
        <color rgb="FF595959"/>
        <rFont val="Noto Sans CJK SC"/>
        <family val="2"/>
      </rPr>
      <t xml:space="preserve">价格为约估</t>
    </r>
    <r>
      <rPr>
        <i val="true"/>
        <sz val="9"/>
        <color rgb="FF595959"/>
        <rFont val="Arial"/>
        <family val="0"/>
        <charset val="1"/>
      </rPr>
      <t xml:space="preserve">;9/9=9.34(</t>
    </r>
    <r>
      <rPr>
        <i val="true"/>
        <sz val="9"/>
        <color rgb="FF595959"/>
        <rFont val="Noto Sans CJK SC"/>
        <family val="2"/>
      </rPr>
      <t xml:space="preserve">实测</t>
    </r>
    <r>
      <rPr>
        <i val="true"/>
        <sz val="9"/>
        <color rgb="FF595959"/>
        <rFont val="Arial"/>
        <family val="0"/>
        <charset val="1"/>
      </rPr>
      <t xml:space="preserve">,+4.42%)</t>
    </r>
    <r>
      <rPr>
        <i val="true"/>
        <sz val="9"/>
        <color rgb="FF595959"/>
        <rFont val="Noto Sans CJK SC"/>
        <family val="2"/>
      </rPr>
      <t xml:space="preserve">。仅用于示意量价关系</t>
    </r>
  </si>
  <si>
    <t xml:space="preserve">完整弧线结论</t>
  </si>
  <si>
    <r>
      <rPr>
        <sz val="10"/>
        <color rgb="FF000000"/>
        <rFont val="Noto Sans CJK SC"/>
        <family val="2"/>
      </rPr>
      <t xml:space="preserve">阶段①</t>
    </r>
    <r>
      <rPr>
        <sz val="10"/>
        <color rgb="FF000000"/>
        <rFont val="Arial"/>
        <family val="0"/>
        <charset val="1"/>
      </rPr>
      <t xml:space="preserve">(8/25–8/29 </t>
    </r>
    <r>
      <rPr>
        <sz val="10"/>
        <color rgb="FF000000"/>
        <rFont val="Noto Sans CJK SC"/>
        <family val="2"/>
      </rPr>
      <t xml:space="preserve">派发</t>
    </r>
    <r>
      <rPr>
        <sz val="10"/>
        <color rgb="FF000000"/>
        <rFont val="Arial"/>
        <family val="0"/>
        <charset val="1"/>
      </rPr>
      <t xml:space="preserve">):</t>
    </r>
    <r>
      <rPr>
        <sz val="10"/>
        <color rgb="FF000000"/>
        <rFont val="Noto Sans CJK SC"/>
        <family val="2"/>
      </rPr>
      <t xml:space="preserve">花旗大户狂减、南向净卖、散户出货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股价下跌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市场不奖励中报。</t>
    </r>
  </si>
  <si>
    <r>
      <rPr>
        <sz val="10"/>
        <color rgb="FF000000"/>
        <rFont val="Noto Sans CJK SC"/>
        <family val="2"/>
      </rPr>
      <t xml:space="preserve">阶段②</t>
    </r>
    <r>
      <rPr>
        <sz val="10"/>
        <color rgb="FF000000"/>
        <rFont val="Arial"/>
        <family val="0"/>
        <charset val="1"/>
      </rPr>
      <t xml:space="preserve">(8/31–9/3 </t>
    </r>
    <r>
      <rPr>
        <sz val="10"/>
        <color rgb="FF000000"/>
        <rFont val="Noto Sans CJK SC"/>
        <family val="2"/>
      </rPr>
      <t xml:space="preserve">卖压衰竭</t>
    </r>
    <r>
      <rPr>
        <sz val="10"/>
        <color rgb="FF000000"/>
        <rFont val="Arial"/>
        <family val="0"/>
        <charset val="1"/>
      </rPr>
      <t xml:space="preserve">):</t>
    </r>
    <r>
      <rPr>
        <sz val="10"/>
        <color rgb="FF000000"/>
        <rFont val="Noto Sans CJK SC"/>
        <family val="2"/>
      </rPr>
      <t xml:space="preserve">花旗从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狂减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转为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回补</t>
    </r>
    <r>
      <rPr>
        <sz val="10"/>
        <color rgb="FF000000"/>
        <rFont val="Arial"/>
        <family val="0"/>
        <charset val="1"/>
      </rPr>
      <t xml:space="preserve">'(</t>
    </r>
    <r>
      <rPr>
        <sz val="10"/>
        <color rgb="FF000000"/>
        <rFont val="Noto Sans CJK SC"/>
        <family val="2"/>
      </rPr>
      <t xml:space="preserve">全周约</t>
    </r>
    <r>
      <rPr>
        <sz val="10"/>
        <color rgb="FF000000"/>
        <rFont val="Arial"/>
        <family val="0"/>
        <charset val="1"/>
      </rPr>
      <t xml:space="preserve">+1300</t>
    </r>
    <r>
      <rPr>
        <sz val="10"/>
        <color rgb="FF000000"/>
        <rFont val="Noto Sans CJK SC"/>
        <family val="2"/>
      </rPr>
      <t xml:space="preserve">万</t>
    </r>
    <r>
      <rPr>
        <sz val="10"/>
        <color rgb="FF000000"/>
        <rFont val="Arial"/>
        <family val="0"/>
        <charset val="1"/>
      </rPr>
      <t xml:space="preserve">),</t>
    </r>
    <r>
      <rPr>
        <sz val="10"/>
        <color rgb="FF000000"/>
        <rFont val="Noto Sans CJK SC"/>
        <family val="2"/>
      </rPr>
      <t xml:space="preserve">南向止跌企稳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最凶的抛售停止。</t>
    </r>
  </si>
  <si>
    <r>
      <rPr>
        <sz val="10"/>
        <color rgb="FF000000"/>
        <rFont val="Noto Sans CJK SC"/>
        <family val="2"/>
      </rPr>
      <t xml:space="preserve">阶段③</t>
    </r>
    <r>
      <rPr>
        <sz val="10"/>
        <color rgb="FF000000"/>
        <rFont val="Arial"/>
        <family val="0"/>
        <charset val="1"/>
      </rPr>
      <t xml:space="preserve">(9/3–9/9 </t>
    </r>
    <r>
      <rPr>
        <sz val="10"/>
        <color rgb="FF000000"/>
        <rFont val="Noto Sans CJK SC"/>
        <family val="2"/>
      </rPr>
      <t xml:space="preserve">买盘扩散</t>
    </r>
    <r>
      <rPr>
        <sz val="10"/>
        <color rgb="FF000000"/>
        <rFont val="Arial"/>
        <family val="0"/>
        <charset val="1"/>
      </rPr>
      <t xml:space="preserve">):</t>
    </r>
    <r>
      <rPr>
        <sz val="10"/>
        <color rgb="FF000000"/>
        <rFont val="Noto Sans CJK SC"/>
        <family val="2"/>
      </rPr>
      <t xml:space="preserve">华泰持续加仓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累计</t>
    </r>
    <r>
      <rPr>
        <sz val="10"/>
        <color rgb="FF000000"/>
        <rFont val="Arial"/>
        <family val="0"/>
        <charset val="1"/>
      </rPr>
      <t xml:space="preserve">+483</t>
    </r>
    <r>
      <rPr>
        <sz val="10"/>
        <color rgb="FF000000"/>
        <rFont val="Noto Sans CJK SC"/>
        <family val="2"/>
      </rPr>
      <t xml:space="preserve">万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、盈透</t>
    </r>
    <r>
      <rPr>
        <sz val="10"/>
        <color rgb="FF000000"/>
        <rFont val="Arial"/>
        <family val="0"/>
        <charset val="1"/>
      </rPr>
      <t xml:space="preserve">+196</t>
    </r>
    <r>
      <rPr>
        <sz val="10"/>
        <color rgb="FF000000"/>
        <rFont val="Noto Sans CJK SC"/>
        <family val="2"/>
      </rPr>
      <t xml:space="preserve">万、</t>
    </r>
    <r>
      <rPr>
        <sz val="10"/>
        <color rgb="FF000000"/>
        <rFont val="Arial"/>
        <family val="0"/>
        <charset val="1"/>
      </rPr>
      <t xml:space="preserve">ML+172</t>
    </r>
    <r>
      <rPr>
        <sz val="10"/>
        <color rgb="FF000000"/>
        <rFont val="Noto Sans CJK SC"/>
        <family val="2"/>
      </rPr>
      <t xml:space="preserve">万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花旗从卖方彻底转为买方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量价开始配合上行。</t>
    </r>
  </si>
  <si>
    <r>
      <rPr>
        <sz val="10"/>
        <color rgb="FF000000"/>
        <rFont val="Noto Sans CJK SC"/>
        <family val="2"/>
      </rPr>
      <t xml:space="preserve">★到位</t>
    </r>
    <r>
      <rPr>
        <sz val="10"/>
        <color rgb="FF000000"/>
        <rFont val="Arial"/>
        <family val="0"/>
        <charset val="1"/>
      </rPr>
      <t xml:space="preserve">:①</t>
    </r>
    <r>
      <rPr>
        <sz val="10"/>
        <color rgb="FF000000"/>
        <rFont val="Noto Sans CJK SC"/>
        <family val="2"/>
      </rPr>
      <t xml:space="preserve">最大卖压出清并回补 ②华泰确立为持续买家 ③买盘从单点扩散到多线 ④</t>
    </r>
    <r>
      <rPr>
        <sz val="10"/>
        <color rgb="FF000000"/>
        <rFont val="Arial"/>
        <family val="0"/>
        <charset val="1"/>
      </rPr>
      <t xml:space="preserve">9/9</t>
    </r>
    <r>
      <rPr>
        <sz val="10"/>
        <color rgb="FF000000"/>
        <rFont val="Noto Sans CJK SC"/>
        <family val="2"/>
      </rPr>
      <t xml:space="preserve">放量</t>
    </r>
    <r>
      <rPr>
        <sz val="10"/>
        <color rgb="FF000000"/>
        <rFont val="Arial"/>
        <family val="0"/>
        <charset val="1"/>
      </rPr>
      <t xml:space="preserve">+4.42%</t>
    </r>
    <r>
      <rPr>
        <sz val="10"/>
        <color rgb="FF000000"/>
        <rFont val="Noto Sans CJK SC"/>
        <family val="2"/>
      </rPr>
      <t xml:space="preserve">站上</t>
    </r>
    <r>
      <rPr>
        <sz val="10"/>
        <color rgb="FF000000"/>
        <rFont val="Arial"/>
        <family val="0"/>
        <charset val="1"/>
      </rPr>
      <t xml:space="preserve">9.34,PE</t>
    </r>
    <r>
      <rPr>
        <sz val="10"/>
        <color rgb="FF000000"/>
        <rFont val="Noto Sans CJK SC"/>
        <family val="2"/>
      </rPr>
      <t xml:space="preserve">约</t>
    </r>
    <r>
      <rPr>
        <sz val="10"/>
        <color rgb="FF000000"/>
        <rFont val="Arial"/>
        <family val="0"/>
        <charset val="1"/>
      </rPr>
      <t xml:space="preserve">10.2x</t>
    </r>
    <r>
      <rPr>
        <sz val="10"/>
        <color rgb="FF000000"/>
        <rFont val="Noto Sans CJK SC"/>
        <family val="2"/>
      </rPr>
      <t xml:space="preserve">仍低于中性锚定</t>
    </r>
    <r>
      <rPr>
        <sz val="10"/>
        <color rgb="FF000000"/>
        <rFont val="Arial"/>
        <family val="0"/>
        <charset val="1"/>
      </rPr>
      <t xml:space="preserve">11.8x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</si>
  <si>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Noto Sans CJK SC"/>
        <family val="2"/>
      </rPr>
      <t xml:space="preserve">★未到位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南向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内地资金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仍净流出</t>
    </r>
    <r>
      <rPr>
        <sz val="10"/>
        <color rgb="FF000000"/>
        <rFont val="Arial"/>
        <family val="0"/>
        <charset val="1"/>
      </rPr>
      <t xml:space="preserve">(11.09%→10.42%,</t>
    </r>
    <r>
      <rPr>
        <sz val="10"/>
        <color rgb="FF000000"/>
        <rFont val="Noto Sans CJK SC"/>
        <family val="2"/>
      </rPr>
      <t xml:space="preserve">累计减约</t>
    </r>
    <r>
      <rPr>
        <sz val="10"/>
        <color rgb="FF000000"/>
        <rFont val="Arial"/>
        <family val="0"/>
        <charset val="1"/>
      </rPr>
      <t xml:space="preserve">938</t>
    </r>
    <r>
      <rPr>
        <sz val="10"/>
        <color rgb="FF000000"/>
        <rFont val="Noto Sans CJK SC"/>
        <family val="2"/>
      </rPr>
      <t xml:space="preserve">万股</t>
    </r>
    <r>
      <rPr>
        <sz val="10"/>
        <color rgb="FF000000"/>
        <rFont val="Arial"/>
        <family val="0"/>
        <charset val="1"/>
      </rPr>
      <t xml:space="preserve">),</t>
    </r>
    <r>
      <rPr>
        <sz val="10"/>
        <color rgb="FF000000"/>
        <rFont val="Noto Sans CJK SC"/>
        <family val="2"/>
      </rPr>
      <t xml:space="preserve">是唯一还在拖后腿的主力。</t>
    </r>
  </si>
  <si>
    <r>
      <rPr>
        <sz val="10"/>
        <color rgb="FF000000"/>
        <rFont val="Noto Sans CJK SC"/>
        <family val="2"/>
      </rPr>
      <t xml:space="preserve">结论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资金面从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派发下跌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走到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买盘接管、右侧初现</t>
    </r>
    <r>
      <rPr>
        <sz val="10"/>
        <color rgb="FF000000"/>
        <rFont val="Arial"/>
        <family val="0"/>
        <charset val="1"/>
      </rPr>
      <t xml:space="preserve">',</t>
    </r>
    <r>
      <rPr>
        <sz val="10"/>
        <color rgb="FF000000"/>
        <rFont val="Noto Sans CJK SC"/>
        <family val="2"/>
      </rPr>
      <t xml:space="preserve">拼图差最后一块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南向归队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。这一块若兑现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估值修复的空间与催化首次同时具备。</t>
    </r>
  </si>
  <si>
    <r>
      <rPr>
        <i val="true"/>
        <sz val="9"/>
        <color rgb="FF595959"/>
        <rFont val="Noto Sans CJK SC"/>
        <family val="2"/>
      </rPr>
      <t xml:space="preserve">─── 图表数据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勿改</t>
    </r>
    <r>
      <rPr>
        <i val="true"/>
        <sz val="9"/>
        <color rgb="FF595959"/>
        <rFont val="Arial"/>
        <family val="0"/>
        <charset val="1"/>
      </rPr>
      <t xml:space="preserve">) ───</t>
    </r>
  </si>
  <si>
    <r>
      <rPr>
        <b val="true"/>
        <sz val="10"/>
        <color rgb="FF000000"/>
        <rFont val="Noto Sans CJK SC"/>
        <family val="2"/>
      </rPr>
      <t xml:space="preserve">花旗</t>
    </r>
    <r>
      <rPr>
        <b val="true"/>
        <sz val="10"/>
        <color rgb="FF000000"/>
        <rFont val="Arial"/>
        <family val="0"/>
        <charset val="1"/>
      </rPr>
      <t xml:space="preserve">Citi</t>
    </r>
  </si>
  <si>
    <r>
      <rPr>
        <b val="true"/>
        <sz val="10"/>
        <color rgb="FF000000"/>
        <rFont val="Arial"/>
        <family val="0"/>
        <charset val="1"/>
      </rPr>
      <t xml:space="preserve">PB</t>
    </r>
    <r>
      <rPr>
        <b val="true"/>
        <sz val="10"/>
        <color rgb="FF000000"/>
        <rFont val="Noto Sans CJK SC"/>
        <family val="2"/>
      </rPr>
      <t xml:space="preserve">活跃</t>
    </r>
    <r>
      <rPr>
        <b val="true"/>
        <sz val="10"/>
        <color rgb="FF000000"/>
        <rFont val="Arial"/>
        <family val="0"/>
        <charset val="1"/>
      </rPr>
      <t xml:space="preserve">(MS/UBS/BNP/ML/JPM)</t>
    </r>
  </si>
  <si>
    <r>
      <rPr>
        <b val="true"/>
        <sz val="10"/>
        <color rgb="FF000000"/>
        <rFont val="Noto Sans CJK SC"/>
        <family val="2"/>
      </rPr>
      <t xml:space="preserve">散户</t>
    </r>
    <r>
      <rPr>
        <b val="true"/>
        <sz val="10"/>
        <color rgb="FF000000"/>
        <rFont val="Arial"/>
        <family val="0"/>
        <charset val="1"/>
      </rPr>
      <t xml:space="preserve">(Futu+IB)</t>
    </r>
  </si>
  <si>
    <r>
      <rPr>
        <b val="true"/>
        <sz val="10"/>
        <color rgb="FF000000"/>
        <rFont val="Noto Sans CJK SC"/>
        <family val="2"/>
      </rPr>
      <t xml:space="preserve">汇丰</t>
    </r>
    <r>
      <rPr>
        <b val="true"/>
        <sz val="10"/>
        <color rgb="FF000000"/>
        <rFont val="Arial"/>
        <family val="0"/>
        <charset val="1"/>
      </rPr>
      <t xml:space="preserve">HSBC(</t>
    </r>
    <r>
      <rPr>
        <b val="true"/>
        <sz val="10"/>
        <color rgb="FF000000"/>
        <rFont val="Noto Sans CJK SC"/>
        <family val="2"/>
      </rPr>
      <t xml:space="preserve">托管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</si>
  <si>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收盘价</t>
  </si>
  <si>
    <t xml:space="preserve">赤子城科技 (9911.HK) — 估值与情景锚定</t>
  </si>
  <si>
    <t xml:space="preserve">绿字=引自利润表/假设页｜EV=市值−净现金｜锚定采用「核心经调整」口径(剔除出售/重估一次性收益)</t>
  </si>
  <si>
    <t xml:space="preserve">一、当前市场快照</t>
  </si>
  <si>
    <t xml:space="preserve">当前股价 (HK$)</t>
  </si>
  <si>
    <t xml:space="preserve">摊薄股数 (百万股)</t>
  </si>
  <si>
    <t xml:space="preserve">市值 (HK$mm)</t>
  </si>
  <si>
    <t xml:space="preserve">市值 (US$mm)</t>
  </si>
  <si>
    <t xml:space="preserve">净现金 (US$mm)</t>
  </si>
  <si>
    <t xml:space="preserve">企业价值 EV (US$mm)</t>
  </si>
  <si>
    <t xml:space="preserve">每股净现金 (HK$)</t>
  </si>
  <si>
    <t xml:space="preserve">净现金占市值 %</t>
  </si>
  <si>
    <t xml:space="preserve">二、当前股价隐含倍数</t>
  </si>
  <si>
    <t xml:space="preserve">市销率 P/S</t>
  </si>
  <si>
    <t xml:space="preserve">市盈率 P/E (报告归母)</t>
  </si>
  <si>
    <t xml:space="preserve">市盈率 P/E (核心归母,剔一次性)</t>
  </si>
  <si>
    <t xml:space="preserve">市盈率 P/E (核心经调整)</t>
  </si>
  <si>
    <r>
      <rPr>
        <sz val="10"/>
        <color rgb="FF000000"/>
        <rFont val="Arial"/>
        <family val="0"/>
        <charset val="1"/>
      </rPr>
      <t xml:space="preserve">EV/EBITDA (</t>
    </r>
    <r>
      <rPr>
        <sz val="10"/>
        <color rgb="FF000000"/>
        <rFont val="Noto Sans CJK SC"/>
        <family val="2"/>
      </rPr>
      <t xml:space="preserve">核心经调整</t>
    </r>
    <r>
      <rPr>
        <sz val="10"/>
        <color rgb="FF000000"/>
        <rFont val="Arial"/>
        <family val="0"/>
        <charset val="1"/>
      </rPr>
      <t xml:space="preserve">)</t>
    </r>
  </si>
  <si>
    <t xml:space="preserve">三、锚定价格 · 情景分析 (12个月)</t>
  </si>
  <si>
    <t xml:space="preserve">方法 / 情景</t>
  </si>
  <si>
    <t xml:space="preserve">中性</t>
  </si>
  <si>
    <t xml:space="preserve">口径说明</t>
  </si>
  <si>
    <r>
      <rPr>
        <sz val="10"/>
        <color rgb="FF000000"/>
        <rFont val="Arial"/>
        <family val="0"/>
        <charset val="1"/>
      </rPr>
      <t xml:space="preserve">A. FY26E</t>
    </r>
    <r>
      <rPr>
        <sz val="10"/>
        <color rgb="FF000000"/>
        <rFont val="Noto Sans CJK SC"/>
        <family val="2"/>
      </rPr>
      <t xml:space="preserve">核心经调整归母 </t>
    </r>
    <r>
      <rPr>
        <sz val="10"/>
        <color rgb="FF000000"/>
        <rFont val="Arial"/>
        <family val="0"/>
        <charset val="1"/>
      </rPr>
      <t xml:space="preserve">× P/E</t>
    </r>
  </si>
  <si>
    <t xml:space="preserve">利润表G35 × PE26</t>
  </si>
  <si>
    <r>
      <rPr>
        <sz val="10"/>
        <color rgb="FF000000"/>
        <rFont val="Arial"/>
        <family val="0"/>
        <charset val="1"/>
      </rPr>
      <t xml:space="preserve">B. FY27E</t>
    </r>
    <r>
      <rPr>
        <sz val="10"/>
        <color rgb="FF000000"/>
        <rFont val="Noto Sans CJK SC"/>
        <family val="2"/>
      </rPr>
      <t xml:space="preserve">核心经调整归母 </t>
    </r>
    <r>
      <rPr>
        <sz val="10"/>
        <color rgb="FF000000"/>
        <rFont val="Arial"/>
        <family val="0"/>
        <charset val="1"/>
      </rPr>
      <t xml:space="preserve">× P/E</t>
    </r>
  </si>
  <si>
    <t xml:space="preserve">利润表H35 × PE27</t>
  </si>
  <si>
    <r>
      <rPr>
        <sz val="10"/>
        <color rgb="FF000000"/>
        <rFont val="Arial"/>
        <family val="0"/>
        <charset val="1"/>
      </rPr>
      <t xml:space="preserve">C. FY27E</t>
    </r>
    <r>
      <rPr>
        <sz val="10"/>
        <color rgb="FF000000"/>
        <rFont val="Noto Sans CJK SC"/>
        <family val="2"/>
      </rPr>
      <t xml:space="preserve">核心经调整</t>
    </r>
    <r>
      <rPr>
        <sz val="10"/>
        <color rgb="FF000000"/>
        <rFont val="Arial"/>
        <family val="0"/>
        <charset val="1"/>
      </rPr>
      <t xml:space="preserve">EBITDA × EV/EBITDA</t>
    </r>
  </si>
  <si>
    <r>
      <rPr>
        <i val="true"/>
        <sz val="9"/>
        <color rgb="FF595959"/>
        <rFont val="Arial"/>
        <family val="0"/>
        <charset val="1"/>
      </rPr>
      <t xml:space="preserve">(H37×EV</t>
    </r>
    <r>
      <rPr>
        <i val="true"/>
        <sz val="9"/>
        <color rgb="FF595959"/>
        <rFont val="Noto Sans CJK SC"/>
        <family val="2"/>
      </rPr>
      <t xml:space="preserve">倍数</t>
    </r>
    <r>
      <rPr>
        <i val="true"/>
        <sz val="9"/>
        <color rgb="FF595959"/>
        <rFont val="Arial"/>
        <family val="0"/>
        <charset val="1"/>
      </rPr>
      <t xml:space="preserve">+</t>
    </r>
    <r>
      <rPr>
        <i val="true"/>
        <sz val="9"/>
        <color rgb="FF595959"/>
        <rFont val="Noto Sans CJK SC"/>
        <family val="2"/>
      </rPr>
      <t xml:space="preserve">净现金</t>
    </r>
    <r>
      <rPr>
        <i val="true"/>
        <sz val="9"/>
        <color rgb="FF595959"/>
        <rFont val="Arial"/>
        <family val="0"/>
        <charset val="1"/>
      </rPr>
      <t xml:space="preserve">)/</t>
    </r>
    <r>
      <rPr>
        <i val="true"/>
        <sz val="9"/>
        <color rgb="FF595959"/>
        <rFont val="Noto Sans CJK SC"/>
        <family val="2"/>
      </rPr>
      <t xml:space="preserve">股</t>
    </r>
  </si>
  <si>
    <t xml:space="preserve">锚定价 (三法平均)</t>
  </si>
  <si>
    <t xml:space="preserve">三法(A/B/C)均值</t>
  </si>
  <si>
    <t xml:space="preserve">较当前股价上行空间</t>
  </si>
  <si>
    <t xml:space="preserve">四、敏感性：FY27E核心经调整归母 × P/E → 股价(HK$)</t>
  </si>
  <si>
    <t xml:space="preserve">核心经调整归母(US$mm) \ P/E</t>
  </si>
  <si>
    <t xml:space="preserve">注：黄色区为大致落点；行=盈利假设(受营销费率驱动)，列=给予倍数。</t>
  </si>
  <si>
    <t xml:space="preserve">五、卖方目标价参考 (供对照，非本模型输出)</t>
  </si>
  <si>
    <t xml:space="preserve">机构</t>
  </si>
  <si>
    <t xml:space="preserve">目标价(HK$)</t>
  </si>
  <si>
    <t xml:space="preserve">评级</t>
  </si>
  <si>
    <t xml:space="preserve">依据</t>
  </si>
  <si>
    <t xml:space="preserve">跑赢行业</t>
  </si>
  <si>
    <r>
      <rPr>
        <i val="true"/>
        <sz val="9"/>
        <color rgb="FF595959"/>
        <rFont val="Arial"/>
        <family val="0"/>
        <charset val="1"/>
      </rPr>
      <t xml:space="preserve">14x 2026 Non-IFRS P/E</t>
    </r>
    <r>
      <rPr>
        <i val="true"/>
        <sz val="9"/>
        <color rgb="FF595959"/>
        <rFont val="Noto Sans CJK SC"/>
        <family val="2"/>
      </rPr>
      <t xml:space="preserve">；关注港股通重估</t>
    </r>
  </si>
  <si>
    <t xml:space="preserve">光大证券</t>
  </si>
  <si>
    <t xml:space="preserve">买入</t>
  </si>
  <si>
    <t xml:space="preserve">首次覆盖(2025/12)</t>
  </si>
  <si>
    <t xml:space="preserve">西牛证券</t>
  </si>
  <si>
    <t xml:space="preserve">2025/11</t>
  </si>
  <si>
    <t xml:space="preserve">四重催化，首次覆盖</t>
  </si>
  <si>
    <t xml:space="preserve">中泰证券</t>
  </si>
  <si>
    <r>
      <rPr>
        <i val="true"/>
        <sz val="9"/>
        <color rgb="FF595959"/>
        <rFont val="Arial"/>
        <family val="0"/>
        <charset val="1"/>
      </rPr>
      <t xml:space="preserve">FY26-28</t>
    </r>
    <r>
      <rPr>
        <i val="true"/>
        <sz val="9"/>
        <color rgb="FF595959"/>
        <rFont val="Noto Sans CJK SC"/>
        <family val="2"/>
      </rPr>
      <t xml:space="preserve">归母</t>
    </r>
    <r>
      <rPr>
        <i val="true"/>
        <sz val="9"/>
        <color rgb="FF595959"/>
        <rFont val="Arial"/>
        <family val="0"/>
        <charset val="1"/>
      </rPr>
      <t xml:space="preserve">11.8/14.9/19.1</t>
    </r>
    <r>
      <rPr>
        <i val="true"/>
        <sz val="9"/>
        <color rgb="FF595959"/>
        <rFont val="Noto Sans CJK SC"/>
        <family val="2"/>
      </rPr>
      <t xml:space="preserve">亿元</t>
    </r>
    <r>
      <rPr>
        <i val="true"/>
        <sz val="9"/>
        <color rgb="FF595959"/>
        <rFont val="Arial"/>
        <family val="0"/>
        <charset val="1"/>
      </rPr>
      <t xml:space="preserve">(RMB)</t>
    </r>
  </si>
  <si>
    <t xml:space="preserve">市场中枢(约)</t>
  </si>
  <si>
    <t xml:space="preserve">区间约11.5–17.9；11家买入</t>
  </si>
  <si>
    <t xml:space="preserve">赤子城科技 (9911.HK) — 估值模型假设与输入</t>
  </si>
  <si>
    <t xml:space="preserve">单位：百万美元(除标注外)｜蓝字=硬输入/情景杠杆(可改)｜黄底=关键假设｜数据基于公司公告与公开研报</t>
  </si>
  <si>
    <t xml:space="preserve">一、汇率与市场输入</t>
  </si>
  <si>
    <t xml:space="preserve">美元兑人民币 USD/CNY</t>
  </si>
  <si>
    <t xml:space="preserve">历史人民币口径折美元用（约数）</t>
  </si>
  <si>
    <t xml:space="preserve">美元兑港元 USD/HKD</t>
  </si>
  <si>
    <t xml:space="preserve">联系汇率</t>
  </si>
  <si>
    <r>
      <rPr>
        <i val="true"/>
        <sz val="9"/>
        <color rgb="FF595959"/>
        <rFont val="Arial"/>
        <family val="0"/>
        <charset val="1"/>
      </rPr>
      <t xml:space="preserve">2026</t>
    </r>
    <r>
      <rPr>
        <i val="true"/>
        <sz val="9"/>
        <color rgb="FF595959"/>
        <rFont val="Noto Sans CJK SC"/>
        <family val="2"/>
      </rPr>
      <t xml:space="preserve">年</t>
    </r>
    <r>
      <rPr>
        <i val="true"/>
        <sz val="9"/>
        <color rgb="FF595959"/>
        <rFont val="Arial"/>
        <family val="0"/>
        <charset val="1"/>
      </rPr>
      <t xml:space="preserve">8</t>
    </r>
    <r>
      <rPr>
        <i val="true"/>
        <sz val="9"/>
        <color rgb="FF595959"/>
        <rFont val="Noto Sans CJK SC"/>
        <family val="2"/>
      </rPr>
      <t xml:space="preserve">月约</t>
    </r>
    <r>
      <rPr>
        <i val="true"/>
        <sz val="9"/>
        <color rgb="FF595959"/>
        <rFont val="Arial"/>
        <family val="0"/>
        <charset val="1"/>
      </rPr>
      <t xml:space="preserve">8.6–9.3</t>
    </r>
    <r>
      <rPr>
        <i val="true"/>
        <sz val="9"/>
        <color rgb="FF595959"/>
        <rFont val="Noto Sans CJK SC"/>
        <family val="2"/>
      </rPr>
      <t xml:space="preserve">区间，请以实时为准</t>
    </r>
  </si>
  <si>
    <t xml:space="preserve">中报摊薄加权约13.5亿；已发行约14.0亿</t>
  </si>
  <si>
    <t xml:space="preserve">净现金 (百万美元)</t>
  </si>
  <si>
    <t xml:space="preserve">现金409.4+定存46.2+理财53.8-租赁负债12.5</t>
  </si>
  <si>
    <t xml:space="preserve">二、分部收入增长假设 (同比)</t>
  </si>
  <si>
    <t xml:space="preserve">社交业务收入增速</t>
  </si>
  <si>
    <t xml:space="preserve">创新业务收入增速</t>
  </si>
  <si>
    <t xml:space="preserve">三、利润率与费用假设 (占收入%)</t>
  </si>
  <si>
    <t xml:space="preserve">毛利率 Gross margin</t>
  </si>
  <si>
    <r>
      <rPr>
        <i val="true"/>
        <sz val="9"/>
        <color rgb="FF595959"/>
        <rFont val="Arial"/>
        <family val="0"/>
        <charset val="1"/>
      </rPr>
      <t xml:space="preserve">H1'26</t>
    </r>
    <r>
      <rPr>
        <i val="true"/>
        <sz val="9"/>
        <color rgb="FF595959"/>
        <rFont val="Noto Sans CJK SC"/>
        <family val="2"/>
      </rPr>
      <t xml:space="preserve">实际</t>
    </r>
    <r>
      <rPr>
        <i val="true"/>
        <sz val="9"/>
        <color rgb="FF595959"/>
        <rFont val="Arial"/>
        <family val="0"/>
        <charset val="1"/>
      </rPr>
      <t xml:space="preserve">57.8%</t>
    </r>
  </si>
  <si>
    <t xml:space="preserve">销售及营销费用率 S&amp;M</t>
  </si>
  <si>
    <t xml:space="preserve">据Sensor Tower:下载+100%但收入+45%,买量效率下滑→费率难快速回落,上调</t>
  </si>
  <si>
    <t xml:space="preserve">研发费用率 R&amp;D</t>
  </si>
  <si>
    <r>
      <rPr>
        <i val="true"/>
        <sz val="9"/>
        <color rgb="FF595959"/>
        <rFont val="Arial"/>
        <family val="0"/>
        <charset val="1"/>
      </rPr>
      <t xml:space="preserve">H1'26</t>
    </r>
    <r>
      <rPr>
        <i val="true"/>
        <sz val="9"/>
        <color rgb="FF595959"/>
        <rFont val="Noto Sans CJK SC"/>
        <family val="2"/>
      </rPr>
      <t xml:space="preserve">实际</t>
    </r>
    <r>
      <rPr>
        <i val="true"/>
        <sz val="9"/>
        <color rgb="FF595959"/>
        <rFont val="Arial"/>
        <family val="0"/>
        <charset val="1"/>
      </rPr>
      <t xml:space="preserve">5.1%</t>
    </r>
  </si>
  <si>
    <t xml:space="preserve">管理费用率 G&amp;A</t>
  </si>
  <si>
    <r>
      <rPr>
        <i val="true"/>
        <sz val="9"/>
        <color rgb="FF595959"/>
        <rFont val="Arial"/>
        <family val="0"/>
        <charset val="1"/>
      </rPr>
      <t xml:space="preserve">H1'26</t>
    </r>
    <r>
      <rPr>
        <i val="true"/>
        <sz val="9"/>
        <color rgb="FF595959"/>
        <rFont val="Noto Sans CJK SC"/>
        <family val="2"/>
      </rPr>
      <t xml:space="preserve">实际</t>
    </r>
    <r>
      <rPr>
        <i val="true"/>
        <sz val="9"/>
        <color rgb="FF595959"/>
        <rFont val="Arial"/>
        <family val="0"/>
        <charset val="1"/>
      </rPr>
      <t xml:space="preserve">3.4%</t>
    </r>
  </si>
  <si>
    <t xml:space="preserve">其他经营净损益率 Other</t>
  </si>
  <si>
    <t xml:space="preserve">减值+其他净损失</t>
  </si>
  <si>
    <t xml:space="preserve">四、线下项目假设 (百万美元)</t>
  </si>
  <si>
    <t xml:space="preserve">所得税率 Tax rate</t>
  </si>
  <si>
    <t xml:space="preserve">少数股东损益率 NCI %净利</t>
  </si>
  <si>
    <t xml:space="preserve">股份薪酬 SBC</t>
  </si>
  <si>
    <t xml:space="preserve">折旧摊销 D&amp;A</t>
  </si>
  <si>
    <t xml:space="preserve">五、一次性项目 (仅FY2026, 百万美元)</t>
  </si>
  <si>
    <t xml:space="preserve">出售附属公司收益 (NADA+Ditto)</t>
  </si>
  <si>
    <r>
      <rPr>
        <i val="true"/>
        <sz val="9"/>
        <color rgb="FF595959"/>
        <rFont val="Arial"/>
        <family val="0"/>
        <charset val="1"/>
      </rPr>
      <t xml:space="preserve">NADA 17.3 + Ditto 12.5</t>
    </r>
    <r>
      <rPr>
        <i val="true"/>
        <sz val="9"/>
        <color rgb="FF595959"/>
        <rFont val="Noto Sans CJK SC"/>
        <family val="2"/>
      </rPr>
      <t xml:space="preserve">（</t>
    </r>
    <r>
      <rPr>
        <i val="true"/>
        <sz val="9"/>
        <color rgb="FF595959"/>
        <rFont val="Arial"/>
        <family val="0"/>
        <charset val="1"/>
      </rPr>
      <t xml:space="preserve">H1</t>
    </r>
    <r>
      <rPr>
        <i val="true"/>
        <sz val="9"/>
        <color rgb="FF595959"/>
        <rFont val="Noto Sans CJK SC"/>
        <family val="2"/>
      </rPr>
      <t xml:space="preserve">已入账）</t>
    </r>
  </si>
  <si>
    <t xml:space="preserve">权益法重估收益(净)</t>
  </si>
  <si>
    <r>
      <rPr>
        <i val="true"/>
        <sz val="9"/>
        <color rgb="FF595959"/>
        <rFont val="Arial"/>
        <family val="0"/>
        <charset val="1"/>
      </rPr>
      <t xml:space="preserve">NADA</t>
    </r>
    <r>
      <rPr>
        <i val="true"/>
        <sz val="9"/>
        <color rgb="FF595959"/>
        <rFont val="Noto Sans CJK SC"/>
        <family val="2"/>
      </rPr>
      <t xml:space="preserve">重估</t>
    </r>
    <r>
      <rPr>
        <i val="true"/>
        <sz val="9"/>
        <color rgb="FF595959"/>
        <rFont val="Arial"/>
        <family val="0"/>
        <charset val="1"/>
      </rPr>
      <t xml:space="preserve">14.6 − </t>
    </r>
    <r>
      <rPr>
        <i val="true"/>
        <sz val="9"/>
        <color rgb="FF595959"/>
        <rFont val="Noto Sans CJK SC"/>
        <family val="2"/>
      </rPr>
      <t xml:space="preserve">摊薄亏损</t>
    </r>
    <r>
      <rPr>
        <i val="true"/>
        <sz val="9"/>
        <color rgb="FF595959"/>
        <rFont val="Arial"/>
        <family val="0"/>
        <charset val="1"/>
      </rPr>
      <t xml:space="preserve">4.8</t>
    </r>
  </si>
  <si>
    <t xml:space="preserve">一次性合计</t>
  </si>
  <si>
    <t xml:space="preserve">六、估值倍数情景 (锚定用)</t>
  </si>
  <si>
    <r>
      <rPr>
        <sz val="10"/>
        <color rgb="FF000000"/>
        <rFont val="Arial"/>
        <family val="0"/>
        <charset val="1"/>
      </rPr>
      <t xml:space="preserve">FY26E </t>
    </r>
    <r>
      <rPr>
        <sz val="10"/>
        <color rgb="FF000000"/>
        <rFont val="Noto Sans CJK SC"/>
        <family val="2"/>
      </rPr>
      <t xml:space="preserve">核心经调整归母 </t>
    </r>
    <r>
      <rPr>
        <sz val="10"/>
        <color rgb="FF000000"/>
        <rFont val="Arial"/>
        <family val="0"/>
        <charset val="1"/>
      </rPr>
      <t xml:space="preserve">P/E</t>
    </r>
  </si>
  <si>
    <r>
      <rPr>
        <sz val="10"/>
        <color rgb="FF000000"/>
        <rFont val="Arial"/>
        <family val="0"/>
        <charset val="1"/>
      </rPr>
      <t xml:space="preserve">FY27E </t>
    </r>
    <r>
      <rPr>
        <sz val="10"/>
        <color rgb="FF000000"/>
        <rFont val="Noto Sans CJK SC"/>
        <family val="2"/>
      </rPr>
      <t xml:space="preserve">核心经调整归母 </t>
    </r>
    <r>
      <rPr>
        <sz val="10"/>
        <color rgb="FF000000"/>
        <rFont val="Arial"/>
        <family val="0"/>
        <charset val="1"/>
      </rPr>
      <t xml:space="preserve">P/E</t>
    </r>
  </si>
  <si>
    <r>
      <rPr>
        <sz val="10"/>
        <color rgb="FF000000"/>
        <rFont val="Arial"/>
        <family val="0"/>
        <charset val="1"/>
      </rPr>
      <t xml:space="preserve">FY27E </t>
    </r>
    <r>
      <rPr>
        <sz val="10"/>
        <color rgb="FF000000"/>
        <rFont val="Noto Sans CJK SC"/>
        <family val="2"/>
      </rPr>
      <t xml:space="preserve">核心经调整</t>
    </r>
    <r>
      <rPr>
        <sz val="10"/>
        <color rgb="FF000000"/>
        <rFont val="Arial"/>
        <family val="0"/>
        <charset val="1"/>
      </rPr>
      <t xml:space="preserve">EBITDA EV/EBITDA</t>
    </r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</si>
</sst>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&quot;HK$&quot;#,##0.00"/>
    <numFmt numFmtId="166" formatCode="\$#,##0.0;&quot;($&quot;#,##0.0\);\-"/>
    <numFmt numFmtId="167" formatCode="0.0%;\(0.0%\);\-"/>
    <numFmt numFmtId="168" formatCode="#,##0;\(#,##0\);\-"/>
    <numFmt numFmtId="169" formatCode="#,##0.0"/>
    <numFmt numFmtId="170" formatCode="#,##0.00"/>
    <numFmt numFmtId="171" formatCode="#,##0"/>
    <numFmt numFmtId="172" formatCode="&quot;HK$&quot;#,##0.0000"/>
    <numFmt numFmtId="173" formatCode="0.00%"/>
    <numFmt numFmtId="174" formatCode="\+#,##0;\-#,##0;0"/>
    <numFmt numFmtId="175" formatCode="#,##0;\(#,##0\);\-"/>
    <numFmt numFmtId="176" formatCode="\+0.00%;\-0.00%"/>
    <numFmt numFmtId="177" formatCode="0.00"/>
    <numFmt numFmtId="178" formatCode="0"/>
    <numFmt numFmtId="179" formatCode="\$#,##0;&quot;($&quot;#,##0\);\-"/>
    <numFmt numFmtId="180" formatCode="0.0\x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Noto Sans CJK SC"/>
      <family val="2"/>
      <charset val="1"/>
    </font>
    <font>
      <i val="true"/>
      <sz val="9"/>
      <color rgb="FF595959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b val="true"/>
      <sz val="22"/>
      <color rgb="FFC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Noto Sans CJK SC"/>
      <family val="2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595959"/>
      <name val="Noto Sans CJK SC"/>
      <family val="2"/>
    </font>
    <font>
      <b val="true"/>
      <sz val="13"/>
      <color rgb="FF000000"/>
      <name val="Noto Sans CJK SC"/>
      <family val="2"/>
      <charset val="1"/>
    </font>
    <font>
      <b val="true"/>
      <sz val="10"/>
      <color rgb="FF008000"/>
      <name val="Noto Sans CJK SC"/>
      <family val="2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1F3864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color rgb="FFC00000"/>
      <name val="Noto Sans CJK SC"/>
      <family val="2"/>
      <charset val="1"/>
    </font>
    <font>
      <b val="true"/>
      <sz val="10"/>
      <color rgb="FFC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3"/>
      <color rgb="FF000000"/>
      <name val="Noto Sans CJK SC"/>
      <family val="2"/>
    </font>
    <font>
      <b val="true"/>
      <sz val="10"/>
      <color rgb="FF008000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00000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03864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F8CBAD"/>
        <bgColor rgb="FFFCE4D6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8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3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1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1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1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4F81BD"/>
      <rgbColor rgb="FF9999F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AABAD7"/>
      <rgbColor rgb="FFFF99CC"/>
      <rgbColor rgb="FFB3B3B3"/>
      <rgbColor rgb="FFF8CBAD"/>
      <rgbColor rgb="FF4472C4"/>
      <rgbColor rgb="FF33CCCC"/>
      <rgbColor rgb="FF70AD47"/>
      <rgbColor rgb="FFFFC000"/>
      <rgbColor rgb="FFFF9900"/>
      <rgbColor rgb="FFED7D31"/>
      <rgbColor rgb="FF416A9C"/>
      <rgbColor rgb="FF86A0CA"/>
      <rgbColor rgb="FF1F3864"/>
      <rgbColor rgb="FF4876AD"/>
      <rgbColor rgb="FF003300"/>
      <rgbColor rgb="FF333300"/>
      <rgbColor rgb="FFC55A11"/>
      <rgbColor rgb="FF595959"/>
      <rgbColor rgb="FF395D88"/>
      <rgbColor rgb="FF20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赤子城 中报后 · 逐日净流向(万股) + 股价(HK$)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CCASS每日追踪!B51</c:f>
              <c:strCache>
                <c:ptCount val="1"/>
                <c:pt idx="0">
                  <c:v>★南向(A3+A4)</c:v>
                </c:pt>
              </c:strCache>
            </c:strRef>
          </c:tx>
          <c:spPr>
            <a:solidFill>
              <a:srgbClr val="395d88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CCASS每日追踪!$A$52:$A$60</c:f>
              <c:strCache>
                <c:ptCount val="9"/>
                <c:pt idx="0">
                  <c:v>8/24</c:v>
                </c:pt>
                <c:pt idx="1">
                  <c:v>8/25</c:v>
                </c:pt>
                <c:pt idx="2">
                  <c:v>8/26</c:v>
                </c:pt>
                <c:pt idx="3">
                  <c:v>8/27</c:v>
                </c:pt>
                <c:pt idx="4">
                  <c:v>8/29</c:v>
                </c:pt>
                <c:pt idx="5">
                  <c:v>8/31</c:v>
                </c:pt>
                <c:pt idx="6">
                  <c:v>9/3</c:v>
                </c:pt>
                <c:pt idx="7">
                  <c:v>9/8</c:v>
                </c:pt>
                <c:pt idx="8">
                  <c:v>9/9</c:v>
                </c:pt>
              </c:strCache>
            </c:strRef>
          </c:cat>
          <c:val>
            <c:numRef>
              <c:f>CCASS每日追踪!$B$52:$B$60</c:f>
              <c:numCache>
                <c:formatCode>0</c:formatCode>
                <c:ptCount val="9"/>
                <c:pt idx="0">
                  <c:v>-132.4</c:v>
                </c:pt>
                <c:pt idx="1">
                  <c:v>42.4</c:v>
                </c:pt>
                <c:pt idx="2">
                  <c:v>0</c:v>
                </c:pt>
                <c:pt idx="3">
                  <c:v>143.8</c:v>
                </c:pt>
                <c:pt idx="4">
                  <c:v>-684.2037</c:v>
                </c:pt>
                <c:pt idx="5">
                  <c:v>-88.4</c:v>
                </c:pt>
                <c:pt idx="6">
                  <c:v>80</c:v>
                </c:pt>
                <c:pt idx="7">
                  <c:v>-182.4</c:v>
                </c:pt>
                <c:pt idx="8">
                  <c:v>-114</c:v>
                </c:pt>
              </c:numCache>
            </c:numRef>
          </c:val>
        </c:ser>
        <c:ser>
          <c:idx val="1"/>
          <c:order val="1"/>
          <c:tx>
            <c:strRef>
              <c:f>CCASS每日追踪!C51</c:f>
              <c:strCache>
                <c:ptCount val="1"/>
                <c:pt idx="0">
                  <c:v>★华泰</c:v>
                </c:pt>
              </c:strCache>
            </c:strRef>
          </c:tx>
          <c:spPr>
            <a:solidFill>
              <a:srgbClr val="416a9c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CCASS每日追踪!$A$52:$A$60</c:f>
              <c:strCache>
                <c:ptCount val="9"/>
                <c:pt idx="0">
                  <c:v>8/24</c:v>
                </c:pt>
                <c:pt idx="1">
                  <c:v>8/25</c:v>
                </c:pt>
                <c:pt idx="2">
                  <c:v>8/26</c:v>
                </c:pt>
                <c:pt idx="3">
                  <c:v>8/27</c:v>
                </c:pt>
                <c:pt idx="4">
                  <c:v>8/29</c:v>
                </c:pt>
                <c:pt idx="5">
                  <c:v>8/31</c:v>
                </c:pt>
                <c:pt idx="6">
                  <c:v>9/3</c:v>
                </c:pt>
                <c:pt idx="7">
                  <c:v>9/8</c:v>
                </c:pt>
                <c:pt idx="8">
                  <c:v>9/9</c:v>
                </c:pt>
              </c:strCache>
            </c:strRef>
          </c:cat>
          <c:val>
            <c:numRef>
              <c:f>CCASS每日追踪!$C$52:$C$60</c:f>
              <c:numCache>
                <c:formatCode>0</c:formatCode>
                <c:ptCount val="9"/>
                <c:pt idx="0">
                  <c:v>0.6</c:v>
                </c:pt>
                <c:pt idx="1">
                  <c:v>-2</c:v>
                </c:pt>
                <c:pt idx="2">
                  <c:v>0</c:v>
                </c:pt>
                <c:pt idx="3">
                  <c:v>0.4</c:v>
                </c:pt>
                <c:pt idx="4">
                  <c:v>-9.4932</c:v>
                </c:pt>
                <c:pt idx="5">
                  <c:v>90.4</c:v>
                </c:pt>
                <c:pt idx="6">
                  <c:v>315.4851</c:v>
                </c:pt>
                <c:pt idx="7">
                  <c:v>65.2</c:v>
                </c:pt>
                <c:pt idx="8">
                  <c:v>22</c:v>
                </c:pt>
              </c:numCache>
            </c:numRef>
          </c:val>
        </c:ser>
        <c:ser>
          <c:idx val="2"/>
          <c:order val="2"/>
          <c:tx>
            <c:strRef>
              <c:f>CCASS每日追踪!D51</c:f>
              <c:strCache>
                <c:ptCount val="1"/>
                <c:pt idx="0">
                  <c:v>花旗Citi</c:v>
                </c:pt>
              </c:strCache>
            </c:strRef>
          </c:tx>
          <c:spPr>
            <a:solidFill>
              <a:srgbClr val="4876a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CCASS每日追踪!$A$52:$A$60</c:f>
              <c:strCache>
                <c:ptCount val="9"/>
                <c:pt idx="0">
                  <c:v>8/24</c:v>
                </c:pt>
                <c:pt idx="1">
                  <c:v>8/25</c:v>
                </c:pt>
                <c:pt idx="2">
                  <c:v>8/26</c:v>
                </c:pt>
                <c:pt idx="3">
                  <c:v>8/27</c:v>
                </c:pt>
                <c:pt idx="4">
                  <c:v>8/29</c:v>
                </c:pt>
                <c:pt idx="5">
                  <c:v>8/31</c:v>
                </c:pt>
                <c:pt idx="6">
                  <c:v>9/3</c:v>
                </c:pt>
                <c:pt idx="7">
                  <c:v>9/8</c:v>
                </c:pt>
                <c:pt idx="8">
                  <c:v>9/9</c:v>
                </c:pt>
              </c:strCache>
            </c:strRef>
          </c:cat>
          <c:val>
            <c:numRef>
              <c:f>CCASS每日追踪!$D$52:$D$60</c:f>
              <c:numCache>
                <c:formatCode>0</c:formatCode>
                <c:ptCount val="9"/>
                <c:pt idx="0">
                  <c:v>50.1522</c:v>
                </c:pt>
                <c:pt idx="1">
                  <c:v>-730.6074</c:v>
                </c:pt>
                <c:pt idx="2">
                  <c:v>0</c:v>
                </c:pt>
                <c:pt idx="3">
                  <c:v>-548.2509</c:v>
                </c:pt>
                <c:pt idx="4">
                  <c:v>-1205.0243</c:v>
                </c:pt>
                <c:pt idx="5">
                  <c:v>540.6631</c:v>
                </c:pt>
                <c:pt idx="6">
                  <c:v>805.4449</c:v>
                </c:pt>
                <c:pt idx="7">
                  <c:v>461.3086</c:v>
                </c:pt>
                <c:pt idx="8">
                  <c:v>263.8052</c:v>
                </c:pt>
              </c:numCache>
            </c:numRef>
          </c:val>
        </c:ser>
        <c:ser>
          <c:idx val="3"/>
          <c:order val="3"/>
          <c:tx>
            <c:strRef>
              <c:f>CCASS每日追踪!E51</c:f>
              <c:strCache>
                <c:ptCount val="1"/>
                <c:pt idx="0">
                  <c:v>PB活跃(MS/UBS/BNP/ML/JPM)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CCASS每日追踪!$A$52:$A$60</c:f>
              <c:strCache>
                <c:ptCount val="9"/>
                <c:pt idx="0">
                  <c:v>8/24</c:v>
                </c:pt>
                <c:pt idx="1">
                  <c:v>8/25</c:v>
                </c:pt>
                <c:pt idx="2">
                  <c:v>8/26</c:v>
                </c:pt>
                <c:pt idx="3">
                  <c:v>8/27</c:v>
                </c:pt>
                <c:pt idx="4">
                  <c:v>8/29</c:v>
                </c:pt>
                <c:pt idx="5">
                  <c:v>8/31</c:v>
                </c:pt>
                <c:pt idx="6">
                  <c:v>9/3</c:v>
                </c:pt>
                <c:pt idx="7">
                  <c:v>9/8</c:v>
                </c:pt>
                <c:pt idx="8">
                  <c:v>9/9</c:v>
                </c:pt>
              </c:strCache>
            </c:strRef>
          </c:cat>
          <c:val>
            <c:numRef>
              <c:f>CCASS每日追踪!$E$52:$E$60</c:f>
              <c:numCache>
                <c:formatCode>0</c:formatCode>
                <c:ptCount val="9"/>
                <c:pt idx="0">
                  <c:v>-140.9319</c:v>
                </c:pt>
                <c:pt idx="1">
                  <c:v>9.7896</c:v>
                </c:pt>
                <c:pt idx="2">
                  <c:v>0</c:v>
                </c:pt>
                <c:pt idx="3">
                  <c:v>439.2588</c:v>
                </c:pt>
                <c:pt idx="4">
                  <c:v>1296.9064</c:v>
                </c:pt>
                <c:pt idx="5">
                  <c:v>-1080.9543</c:v>
                </c:pt>
                <c:pt idx="6">
                  <c:v>-41.1549</c:v>
                </c:pt>
                <c:pt idx="7">
                  <c:v>-336.7655</c:v>
                </c:pt>
                <c:pt idx="8">
                  <c:v>-212.7467</c:v>
                </c:pt>
              </c:numCache>
            </c:numRef>
          </c:val>
        </c:ser>
        <c:ser>
          <c:idx val="4"/>
          <c:order val="4"/>
          <c:tx>
            <c:strRef>
              <c:f>CCASS每日追踪!F51</c:f>
              <c:strCache>
                <c:ptCount val="1"/>
                <c:pt idx="0">
                  <c:v>散户(Futu+IB)</c:v>
                </c:pt>
              </c:strCache>
            </c:strRef>
          </c:tx>
          <c:spPr>
            <a:solidFill>
              <a:srgbClr val="86a0ca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CCASS每日追踪!$A$52:$A$60</c:f>
              <c:strCache>
                <c:ptCount val="9"/>
                <c:pt idx="0">
                  <c:v>8/24</c:v>
                </c:pt>
                <c:pt idx="1">
                  <c:v>8/25</c:v>
                </c:pt>
                <c:pt idx="2">
                  <c:v>8/26</c:v>
                </c:pt>
                <c:pt idx="3">
                  <c:v>8/27</c:v>
                </c:pt>
                <c:pt idx="4">
                  <c:v>8/29</c:v>
                </c:pt>
                <c:pt idx="5">
                  <c:v>8/31</c:v>
                </c:pt>
                <c:pt idx="6">
                  <c:v>9/3</c:v>
                </c:pt>
                <c:pt idx="7">
                  <c:v>9/8</c:v>
                </c:pt>
                <c:pt idx="8">
                  <c:v>9/9</c:v>
                </c:pt>
              </c:strCache>
            </c:strRef>
          </c:cat>
          <c:val>
            <c:numRef>
              <c:f>CCASS每日追踪!$F$52:$F$60</c:f>
              <c:numCache>
                <c:formatCode>0</c:formatCode>
                <c:ptCount val="9"/>
                <c:pt idx="0">
                  <c:v>-18</c:v>
                </c:pt>
                <c:pt idx="1">
                  <c:v>-15.6</c:v>
                </c:pt>
                <c:pt idx="2">
                  <c:v>0</c:v>
                </c:pt>
                <c:pt idx="3">
                  <c:v>29.2</c:v>
                </c:pt>
                <c:pt idx="4">
                  <c:v>-100.6751</c:v>
                </c:pt>
                <c:pt idx="5">
                  <c:v>124.4191</c:v>
                </c:pt>
                <c:pt idx="6">
                  <c:v>0.1181</c:v>
                </c:pt>
                <c:pt idx="7">
                  <c:v>62.8819</c:v>
                </c:pt>
                <c:pt idx="8">
                  <c:v>12.0614</c:v>
                </c:pt>
              </c:numCache>
            </c:numRef>
          </c:val>
        </c:ser>
        <c:ser>
          <c:idx val="5"/>
          <c:order val="5"/>
          <c:tx>
            <c:strRef>
              <c:f>CCASS每日追踪!G51</c:f>
              <c:strCache>
                <c:ptCount val="1"/>
                <c:pt idx="0">
                  <c:v>汇丰HSBC(托管)</c:v>
                </c:pt>
              </c:strCache>
            </c:strRef>
          </c:tx>
          <c:spPr>
            <a:solidFill>
              <a:srgbClr val="aabad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CCASS每日追踪!$A$52:$A$60</c:f>
              <c:strCache>
                <c:ptCount val="9"/>
                <c:pt idx="0">
                  <c:v>8/24</c:v>
                </c:pt>
                <c:pt idx="1">
                  <c:v>8/25</c:v>
                </c:pt>
                <c:pt idx="2">
                  <c:v>8/26</c:v>
                </c:pt>
                <c:pt idx="3">
                  <c:v>8/27</c:v>
                </c:pt>
                <c:pt idx="4">
                  <c:v>8/29</c:v>
                </c:pt>
                <c:pt idx="5">
                  <c:v>8/31</c:v>
                </c:pt>
                <c:pt idx="6">
                  <c:v>9/3</c:v>
                </c:pt>
                <c:pt idx="7">
                  <c:v>9/8</c:v>
                </c:pt>
                <c:pt idx="8">
                  <c:v>9/9</c:v>
                </c:pt>
              </c:strCache>
            </c:strRef>
          </c:cat>
          <c:val>
            <c:numRef>
              <c:f>CCASS每日追踪!$G$52:$G$60</c:f>
              <c:numCache>
                <c:formatCode>0</c:formatCode>
                <c:ptCount val="9"/>
                <c:pt idx="0">
                  <c:v>207.2312</c:v>
                </c:pt>
                <c:pt idx="1">
                  <c:v>665.2098</c:v>
                </c:pt>
                <c:pt idx="2">
                  <c:v>0</c:v>
                </c:pt>
                <c:pt idx="3">
                  <c:v>-238.2377</c:v>
                </c:pt>
                <c:pt idx="4">
                  <c:v>1085.5419</c:v>
                </c:pt>
                <c:pt idx="5">
                  <c:v>-286.9089</c:v>
                </c:pt>
                <c:pt idx="6">
                  <c:v>284.3786</c:v>
                </c:pt>
                <c:pt idx="7">
                  <c:v>-1.7569</c:v>
                </c:pt>
                <c:pt idx="8">
                  <c:v>-264.1206</c:v>
                </c:pt>
              </c:numCache>
            </c:numRef>
          </c:val>
        </c:ser>
        <c:gapWidth val="150"/>
        <c:overlap val="100"/>
        <c:axId val="90634378"/>
        <c:axId val="71318421"/>
      </c:barChart>
      <c:lineChart>
        <c:grouping val="stacked"/>
        <c:varyColors val="0"/>
        <c:ser>
          <c:idx val="6"/>
          <c:order val="6"/>
          <c:tx>
            <c:strRef>
              <c:f>CCASS每日追踪!H51</c:f>
              <c:strCache>
                <c:ptCount val="1"/>
                <c:pt idx="0">
                  <c:v>收盘价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CCASS每日追踪!$A$52:$A$60</c:f>
              <c:strCache>
                <c:ptCount val="9"/>
                <c:pt idx="0">
                  <c:v>8/24</c:v>
                </c:pt>
                <c:pt idx="1">
                  <c:v>8/25</c:v>
                </c:pt>
                <c:pt idx="2">
                  <c:v>8/26</c:v>
                </c:pt>
                <c:pt idx="3">
                  <c:v>8/27</c:v>
                </c:pt>
                <c:pt idx="4">
                  <c:v>8/29</c:v>
                </c:pt>
                <c:pt idx="5">
                  <c:v>8/31</c:v>
                </c:pt>
                <c:pt idx="6">
                  <c:v>9/3</c:v>
                </c:pt>
                <c:pt idx="7">
                  <c:v>9/8</c:v>
                </c:pt>
                <c:pt idx="8">
                  <c:v>9/9</c:v>
                </c:pt>
              </c:strCache>
            </c:strRef>
          </c:cat>
          <c:val>
            <c:numRef>
              <c:f>CCASS每日追踪!$H$52:$H$60</c:f>
              <c:numCache>
                <c:formatCode>0.00</c:formatCode>
                <c:ptCount val="9"/>
                <c:pt idx="0">
                  <c:v>9.3</c:v>
                </c:pt>
                <c:pt idx="1">
                  <c:v>9.2</c:v>
                </c:pt>
                <c:pt idx="2">
                  <c:v>9.1</c:v>
                </c:pt>
                <c:pt idx="3">
                  <c:v>8.9</c:v>
                </c:pt>
                <c:pt idx="4">
                  <c:v>8.7</c:v>
                </c:pt>
                <c:pt idx="5">
                  <c:v>8.55</c:v>
                </c:pt>
                <c:pt idx="6">
                  <c:v>8.4</c:v>
                </c:pt>
                <c:pt idx="7">
                  <c:v>8.95</c:v>
                </c:pt>
                <c:pt idx="8">
                  <c:v>9.34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490778"/>
        <c:axId val="93614032"/>
      </c:lineChart>
      <c:catAx>
        <c:axId val="906343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日期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18421"/>
        <c:crosses val="autoZero"/>
        <c:auto val="1"/>
        <c:lblAlgn val="ctr"/>
        <c:lblOffset val="100"/>
        <c:noMultiLvlLbl val="0"/>
      </c:catAx>
      <c:valAx>
        <c:axId val="713184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净流向 (万股)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34378"/>
        <c:crosses val="autoZero"/>
        <c:crossBetween val="between"/>
      </c:valAx>
      <c:catAx>
        <c:axId val="26490778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日期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614032"/>
        <c:crosses val="autoZero"/>
        <c:auto val="1"/>
        <c:lblAlgn val="ctr"/>
        <c:lblOffset val="100"/>
        <c:noMultiLvlLbl val="0"/>
      </c:catAx>
      <c:valAx>
        <c:axId val="9361403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收盘价 (HK$)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90778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49</xdr:row>
      <xdr:rowOff>54720</xdr:rowOff>
    </xdr:from>
    <xdr:to>
      <xdr:col>11</xdr:col>
      <xdr:colOff>510840</xdr:colOff>
      <xdr:row>73</xdr:row>
      <xdr:rowOff>162360</xdr:rowOff>
    </xdr:to>
    <xdr:graphicFrame>
      <xdr:nvGraphicFramePr>
        <xdr:cNvPr id="0" name="Chart 1"/>
        <xdr:cNvGraphicFramePr/>
      </xdr:nvGraphicFramePr>
      <xdr:xfrm>
        <a:off x="0" y="10782360"/>
        <a:ext cx="93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5"/>
    <col collapsed="false" customWidth="true" hidden="false" outlineLevel="0" max="6" min="6" style="1" width="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</row>
    <row r="4" customFormat="false" ht="16.5" hidden="false" customHeight="true" outlineLevel="0" collapsed="false">
      <c r="A4" s="4" t="s">
        <v>2</v>
      </c>
      <c r="B4" s="4"/>
      <c r="C4" s="5" t="s">
        <v>3</v>
      </c>
      <c r="D4" s="5" t="s">
        <v>4</v>
      </c>
      <c r="E4" s="5" t="s">
        <v>5</v>
      </c>
    </row>
    <row r="5" customFormat="false" ht="17.25" hidden="false" customHeight="true" outlineLevel="0" collapsed="false">
      <c r="A5" s="6" t="n">
        <f aca="false">估值与情景!C27</f>
        <v>11.8077400917315</v>
      </c>
      <c r="B5" s="6"/>
      <c r="C5" s="7" t="n">
        <f aca="false">估值与情景!B27</f>
        <v>8.52950495256779</v>
      </c>
      <c r="D5" s="8" t="n">
        <f aca="false">估值与情景!D27</f>
        <v>15.0859752308953</v>
      </c>
      <c r="E5" s="9" t="n">
        <f aca="false">假设与输入!$B$7</f>
        <v>9</v>
      </c>
    </row>
    <row r="6" customFormat="false" ht="15" hidden="false" customHeight="true" outlineLevel="0" collapsed="false">
      <c r="A6" s="6"/>
      <c r="B6" s="6"/>
      <c r="C6" s="10" t="s">
        <v>6</v>
      </c>
      <c r="D6" s="10" t="s">
        <v>7</v>
      </c>
      <c r="E6" s="11" t="str">
        <f aca="false">"上行 "&amp;TEXT(估值与情景!C27/假设与输入!$B$7-1,"0.0%")</f>
        <v>上行 31.2%</v>
      </c>
    </row>
    <row r="7" customFormat="false" ht="15" hidden="false" customHeight="true" outlineLevel="0" collapsed="false">
      <c r="A7" s="6"/>
      <c r="B7" s="6"/>
      <c r="C7" s="10"/>
      <c r="D7" s="10"/>
      <c r="E7" s="11"/>
    </row>
    <row r="9" customFormat="false" ht="16.5" hidden="false" customHeight="true" outlineLevel="0" collapsed="false">
      <c r="A9" s="12" t="s">
        <v>8</v>
      </c>
      <c r="B9" s="13"/>
      <c r="C9" s="13"/>
      <c r="D9" s="13"/>
      <c r="E9" s="13"/>
    </row>
    <row r="10" customFormat="false" ht="15" hidden="false" customHeight="true" outlineLevel="0" collapsed="false">
      <c r="A10" s="14" t="s">
        <v>9</v>
      </c>
      <c r="B10" s="15" t="s">
        <v>10</v>
      </c>
      <c r="C10" s="15" t="s">
        <v>11</v>
      </c>
      <c r="D10" s="5" t="s">
        <v>12</v>
      </c>
      <c r="E10" s="5" t="s">
        <v>13</v>
      </c>
    </row>
    <row r="11" customFormat="false" ht="15" hidden="false" customHeight="true" outlineLevel="0" collapsed="false">
      <c r="A11" s="16" t="s">
        <v>14</v>
      </c>
      <c r="B11" s="17" t="n">
        <f aca="false">利润表!F7</f>
        <v>606.86</v>
      </c>
      <c r="C11" s="17" t="n">
        <f aca="false">利润表!E7</f>
        <v>442.845</v>
      </c>
      <c r="D11" s="18" t="n">
        <f aca="false">B11/C11-1</f>
        <v>0.370366606826316</v>
      </c>
      <c r="E11" s="19" t="s">
        <v>15</v>
      </c>
    </row>
    <row r="12" customFormat="false" ht="15" hidden="false" customHeight="true" outlineLevel="0" collapsed="false">
      <c r="A12" s="16" t="s">
        <v>16</v>
      </c>
      <c r="B12" s="17" t="n">
        <f aca="false">利润表!F9</f>
        <v>351.013</v>
      </c>
      <c r="C12" s="17" t="n">
        <f aca="false">利润表!E9</f>
        <v>247.104</v>
      </c>
      <c r="D12" s="18" t="n">
        <f aca="false">B12/C12-1</f>
        <v>0.420507154882155</v>
      </c>
      <c r="E12" s="19" t="s">
        <v>17</v>
      </c>
    </row>
    <row r="13" customFormat="false" ht="15" hidden="false" customHeight="true" outlineLevel="0" collapsed="false">
      <c r="A13" s="16" t="s">
        <v>18</v>
      </c>
      <c r="B13" s="17" t="n">
        <f aca="false">利润表!F18</f>
        <v>88.965</v>
      </c>
      <c r="C13" s="17" t="n">
        <f aca="false">利润表!E18</f>
        <v>66.732</v>
      </c>
      <c r="D13" s="18" t="n">
        <f aca="false">B13/C13-1</f>
        <v>0.333168494875022</v>
      </c>
      <c r="E13" s="19" t="s">
        <v>19</v>
      </c>
    </row>
    <row r="14" customFormat="false" ht="15" hidden="false" customHeight="true" outlineLevel="0" collapsed="false">
      <c r="A14" s="16" t="s">
        <v>20</v>
      </c>
      <c r="B14" s="17" t="n">
        <f aca="false">利润表!F27</f>
        <v>99.328</v>
      </c>
      <c r="C14" s="17" t="n">
        <f aca="false">利润表!E27</f>
        <v>68.11</v>
      </c>
      <c r="D14" s="18" t="n">
        <f aca="false">B14/C14-1</f>
        <v>0.458346791954191</v>
      </c>
      <c r="E14" s="19" t="s">
        <v>21</v>
      </c>
    </row>
    <row r="15" customFormat="false" ht="15" hidden="false" customHeight="true" outlineLevel="0" collapsed="false">
      <c r="A15" s="16" t="s">
        <v>22</v>
      </c>
      <c r="B15" s="17" t="n">
        <f aca="false">利润表!F35</f>
        <v>71.14794</v>
      </c>
      <c r="C15" s="17" t="n">
        <f aca="false">利润表!E35</f>
        <v>85.05484</v>
      </c>
      <c r="D15" s="18" t="n">
        <f aca="false">B15/C15-1</f>
        <v>-0.163505098592861</v>
      </c>
      <c r="E15" s="19" t="s">
        <v>23</v>
      </c>
    </row>
    <row r="16" customFormat="false" ht="15" hidden="false" customHeight="true" outlineLevel="0" collapsed="false">
      <c r="A16" s="16" t="s">
        <v>24</v>
      </c>
      <c r="B16" s="17" t="s">
        <v>25</v>
      </c>
      <c r="C16" s="17" t="s">
        <v>26</v>
      </c>
      <c r="D16" s="18" t="n">
        <f aca="false">B16/C16-1</f>
        <v>0.214965986394558</v>
      </c>
      <c r="E16" s="19" t="s">
        <v>27</v>
      </c>
    </row>
    <row r="17" customFormat="false" ht="15" hidden="false" customHeight="true" outlineLevel="0" collapsed="false">
      <c r="A17" s="20" t="s">
        <v>28</v>
      </c>
    </row>
    <row r="19" customFormat="false" ht="15" hidden="false" customHeight="true" outlineLevel="0" collapsed="false">
      <c r="A19" s="12" t="s">
        <v>29</v>
      </c>
      <c r="B19" s="13"/>
      <c r="C19" s="13"/>
      <c r="D19" s="13"/>
      <c r="E19" s="13"/>
    </row>
    <row r="20" customFormat="false" ht="42" hidden="false" customHeight="true" outlineLevel="0" collapsed="false">
      <c r="A20" s="21" t="s">
        <v>30</v>
      </c>
      <c r="B20" s="21"/>
      <c r="C20" s="21"/>
      <c r="D20" s="21"/>
      <c r="E20" s="21"/>
    </row>
    <row r="21" customFormat="false" ht="42" hidden="false" customHeight="true" outlineLevel="0" collapsed="false">
      <c r="A21" s="22" t="s">
        <v>31</v>
      </c>
      <c r="B21" s="22"/>
      <c r="C21" s="22"/>
      <c r="D21" s="22"/>
      <c r="E21" s="22"/>
    </row>
    <row r="22" customFormat="false" ht="42" hidden="false" customHeight="true" outlineLevel="0" collapsed="false">
      <c r="A22" s="22" t="s">
        <v>32</v>
      </c>
      <c r="B22" s="22"/>
      <c r="C22" s="22"/>
      <c r="D22" s="22"/>
      <c r="E22" s="22"/>
    </row>
    <row r="23" customFormat="false" ht="27.75" hidden="false" customHeight="true" outlineLevel="0" collapsed="false">
      <c r="A23" s="22" t="s">
        <v>33</v>
      </c>
      <c r="B23" s="22"/>
      <c r="C23" s="22"/>
      <c r="D23" s="22"/>
      <c r="E23" s="22"/>
    </row>
    <row r="24" customFormat="false" ht="27.75" hidden="false" customHeight="true" outlineLevel="0" collapsed="false">
      <c r="A24" s="22" t="s">
        <v>34</v>
      </c>
      <c r="B24" s="22"/>
      <c r="C24" s="22"/>
      <c r="D24" s="22"/>
      <c r="E24" s="22"/>
    </row>
    <row r="25" customFormat="false" ht="27.75" hidden="false" customHeight="true" outlineLevel="0" collapsed="false">
      <c r="A25" s="22" t="s">
        <v>35</v>
      </c>
      <c r="B25" s="22"/>
      <c r="C25" s="22"/>
      <c r="D25" s="22"/>
      <c r="E25" s="22"/>
    </row>
    <row r="27" customFormat="false" ht="30" hidden="false" customHeight="true" outlineLevel="0" collapsed="false">
      <c r="A27" s="23" t="s">
        <v>36</v>
      </c>
      <c r="B27" s="23"/>
      <c r="C27" s="23"/>
      <c r="D27" s="23"/>
      <c r="E27" s="23"/>
    </row>
  </sheetData>
  <mergeCells count="14">
    <mergeCell ref="A1:E1"/>
    <mergeCell ref="A2:E2"/>
    <mergeCell ref="A4:B4"/>
    <mergeCell ref="A5:B7"/>
    <mergeCell ref="C6:C7"/>
    <mergeCell ref="D6:D7"/>
    <mergeCell ref="E6:E7"/>
    <mergeCell ref="A20:E20"/>
    <mergeCell ref="A21:E21"/>
    <mergeCell ref="A22:E22"/>
    <mergeCell ref="A23:E23"/>
    <mergeCell ref="A24:E24"/>
    <mergeCell ref="A25:E25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.5"/>
  </cols>
  <sheetData>
    <row r="1" customFormat="false" ht="19.5" hidden="false" customHeight="true" outlineLevel="0" collapsed="false">
      <c r="A1" s="24" t="s">
        <v>37</v>
      </c>
      <c r="B1" s="24"/>
      <c r="C1" s="24"/>
      <c r="D1" s="24"/>
      <c r="E1" s="24"/>
      <c r="F1" s="24"/>
      <c r="G1" s="24"/>
      <c r="H1" s="24"/>
      <c r="I1" s="24"/>
    </row>
    <row r="2" customFormat="false" ht="13.5" hidden="false" customHeight="true" outlineLevel="0" collapsed="false">
      <c r="A2" s="3" t="s">
        <v>38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25" t="s">
        <v>39</v>
      </c>
      <c r="B4" s="15" t="s">
        <v>40</v>
      </c>
      <c r="C4" s="15" t="s">
        <v>41</v>
      </c>
      <c r="D4" s="15" t="s">
        <v>42</v>
      </c>
      <c r="E4" s="26" t="s">
        <v>11</v>
      </c>
      <c r="F4" s="26" t="s">
        <v>10</v>
      </c>
      <c r="G4" s="27" t="s">
        <v>43</v>
      </c>
      <c r="H4" s="27" t="s">
        <v>44</v>
      </c>
      <c r="I4" s="27" t="s">
        <v>45</v>
      </c>
    </row>
    <row r="5" customFormat="false" ht="15" hidden="false" customHeight="true" outlineLevel="0" collapsed="false">
      <c r="A5" s="28" t="s">
        <v>46</v>
      </c>
      <c r="B5" s="29" t="n">
        <v>409.5</v>
      </c>
      <c r="C5" s="29" t="n">
        <v>647.6</v>
      </c>
      <c r="D5" s="29" t="n">
        <v>858.7</v>
      </c>
      <c r="E5" s="29" t="n">
        <v>394.551</v>
      </c>
      <c r="F5" s="29" t="n">
        <v>538.684</v>
      </c>
      <c r="G5" s="30" t="n">
        <f aca="false">D5*(1+假设与输入!B13)</f>
        <v>1150.658</v>
      </c>
      <c r="H5" s="30" t="n">
        <f aca="false">G5*(1+假设与输入!C13)</f>
        <v>1403.80276</v>
      </c>
      <c r="I5" s="30" t="n">
        <f aca="false">H5*(1+假设与输入!D13)</f>
        <v>1684.563312</v>
      </c>
    </row>
    <row r="6" customFormat="false" ht="15" hidden="false" customHeight="true" outlineLevel="0" collapsed="false">
      <c r="A6" s="28" t="s">
        <v>47</v>
      </c>
      <c r="B6" s="29" t="n">
        <v>53.1</v>
      </c>
      <c r="C6" s="29" t="n">
        <v>64.3</v>
      </c>
      <c r="D6" s="29" t="n">
        <v>104.9</v>
      </c>
      <c r="E6" s="29" t="n">
        <v>48.294</v>
      </c>
      <c r="F6" s="29" t="n">
        <v>68.176</v>
      </c>
      <c r="G6" s="30" t="n">
        <f aca="false">D6*(1+假设与输入!B14)</f>
        <v>150.007</v>
      </c>
      <c r="H6" s="30" t="n">
        <f aca="false">G6*(1+假设与输入!C14)</f>
        <v>207.00966</v>
      </c>
      <c r="I6" s="30" t="n">
        <f aca="false">H6*(1+假设与输入!D14)</f>
        <v>273.2527512</v>
      </c>
    </row>
    <row r="7" customFormat="false" ht="15" hidden="false" customHeight="true" outlineLevel="0" collapsed="false">
      <c r="A7" s="31" t="s">
        <v>48</v>
      </c>
      <c r="B7" s="32" t="n">
        <f aca="false">B5+B6</f>
        <v>462.6</v>
      </c>
      <c r="C7" s="32" t="n">
        <f aca="false">C5+C6</f>
        <v>711.9</v>
      </c>
      <c r="D7" s="32" t="n">
        <f aca="false">D5+D6</f>
        <v>963.6</v>
      </c>
      <c r="E7" s="32" t="n">
        <f aca="false">E5+E6</f>
        <v>442.845</v>
      </c>
      <c r="F7" s="32" t="n">
        <f aca="false">F5+F6</f>
        <v>606.86</v>
      </c>
      <c r="G7" s="32" t="n">
        <f aca="false">G5+G6</f>
        <v>1300.665</v>
      </c>
      <c r="H7" s="32" t="n">
        <f aca="false">H5+H6</f>
        <v>1610.81242</v>
      </c>
      <c r="I7" s="32" t="n">
        <f aca="false">I5+I6</f>
        <v>1957.8160632</v>
      </c>
    </row>
    <row r="8" customFormat="false" ht="15" hidden="false" customHeight="true" outlineLevel="0" collapsed="false">
      <c r="A8" s="28" t="s">
        <v>49</v>
      </c>
      <c r="B8" s="30" t="n">
        <f aca="false">-( B7-B9 )</f>
        <v>-221.7</v>
      </c>
      <c r="C8" s="30" t="n">
        <f aca="false">-( C7-C9 )</f>
        <v>-347.2</v>
      </c>
      <c r="D8" s="30" t="n">
        <f aca="false">-( D7-D9 )</f>
        <v>-425.5</v>
      </c>
      <c r="E8" s="30" t="n">
        <f aca="false">-( E7-E9 )</f>
        <v>-195.741</v>
      </c>
      <c r="F8" s="30" t="n">
        <f aca="false">-( F7-F9 )</f>
        <v>-255.847</v>
      </c>
      <c r="G8" s="30" t="n">
        <f aca="false">-( G7-G9 )</f>
        <v>-552.782625</v>
      </c>
      <c r="H8" s="30" t="n">
        <f aca="false">-( H7-H9 )</f>
        <v>-692.6493406</v>
      </c>
      <c r="I8" s="30" t="n">
        <f aca="false">-( I7-I9 )</f>
        <v>-851.649987492</v>
      </c>
    </row>
    <row r="9" customFormat="false" ht="15" hidden="false" customHeight="true" outlineLevel="0" collapsed="false">
      <c r="A9" s="33" t="s">
        <v>50</v>
      </c>
      <c r="B9" s="29" t="n">
        <v>240.9</v>
      </c>
      <c r="C9" s="29" t="n">
        <v>364.7</v>
      </c>
      <c r="D9" s="29" t="n">
        <v>538.1</v>
      </c>
      <c r="E9" s="29" t="n">
        <v>247.104</v>
      </c>
      <c r="F9" s="29" t="n">
        <v>351.013</v>
      </c>
      <c r="G9" s="30" t="n">
        <f aca="false">G7*假设与输入!B18</f>
        <v>747.882375</v>
      </c>
      <c r="H9" s="30" t="n">
        <f aca="false">H7*假设与输入!C18</f>
        <v>918.1630794</v>
      </c>
      <c r="I9" s="30" t="n">
        <f aca="false">I7*假设与输入!D18</f>
        <v>1106.166075708</v>
      </c>
    </row>
    <row r="10" customFormat="false" ht="15" hidden="false" customHeight="true" outlineLevel="0" collapsed="false">
      <c r="A10" s="16" t="s">
        <v>51</v>
      </c>
      <c r="B10" s="34" t="n">
        <f aca="false">B9/B7</f>
        <v>0.520752269779507</v>
      </c>
      <c r="C10" s="34" t="n">
        <f aca="false">C9/C7</f>
        <v>0.512291052114061</v>
      </c>
      <c r="D10" s="34" t="n">
        <f aca="false">D9/D7</f>
        <v>0.558426733084267</v>
      </c>
      <c r="E10" s="34" t="n">
        <f aca="false">E9/E7</f>
        <v>0.557992073976222</v>
      </c>
      <c r="F10" s="34" t="n">
        <f aca="false">F9/F7</f>
        <v>0.578408529150051</v>
      </c>
      <c r="G10" s="34" t="n">
        <f aca="false">G9/G7</f>
        <v>0.575</v>
      </c>
      <c r="H10" s="34" t="n">
        <f aca="false">H9/H7</f>
        <v>0.57</v>
      </c>
      <c r="I10" s="34" t="n">
        <f aca="false">I9/I7</f>
        <v>0.565</v>
      </c>
    </row>
    <row r="12" customFormat="false" ht="15" hidden="false" customHeight="true" outlineLevel="0" collapsed="false">
      <c r="A12" s="28" t="s">
        <v>52</v>
      </c>
      <c r="B12" s="35" t="s">
        <v>53</v>
      </c>
      <c r="C12" s="35" t="s">
        <v>53</v>
      </c>
      <c r="D12" s="35" t="s">
        <v>53</v>
      </c>
      <c r="E12" s="29" t="n">
        <v>-139.429</v>
      </c>
      <c r="F12" s="29" t="n">
        <v>-228.637</v>
      </c>
      <c r="G12" s="30" t="n">
        <f aca="false">-G7*假设与输入!B19</f>
        <v>-481.24605</v>
      </c>
      <c r="H12" s="30" t="n">
        <f aca="false">-H7*假设与输入!C19</f>
        <v>-571.8384091</v>
      </c>
      <c r="I12" s="30" t="n">
        <f aca="false">-I7*假设与输入!D19</f>
        <v>-665.657461488</v>
      </c>
    </row>
    <row r="13" customFormat="false" ht="15" hidden="false" customHeight="true" outlineLevel="0" collapsed="false">
      <c r="A13" s="28" t="s">
        <v>54</v>
      </c>
      <c r="B13" s="35" t="s">
        <v>53</v>
      </c>
      <c r="C13" s="35" t="s">
        <v>53</v>
      </c>
      <c r="D13" s="35" t="s">
        <v>53</v>
      </c>
      <c r="E13" s="29" t="n">
        <v>-23.329</v>
      </c>
      <c r="F13" s="29" t="n">
        <v>-31.223</v>
      </c>
      <c r="G13" s="30" t="n">
        <f aca="false">-G7*假设与输入!B20</f>
        <v>-65.03325</v>
      </c>
      <c r="H13" s="30" t="n">
        <f aca="false">-H7*假设与输入!C20</f>
        <v>-80.540621</v>
      </c>
      <c r="I13" s="30" t="n">
        <f aca="false">-I7*假设与输入!D20</f>
        <v>-97.89080316</v>
      </c>
    </row>
    <row r="14" customFormat="false" ht="15" hidden="false" customHeight="true" outlineLevel="0" collapsed="false">
      <c r="A14" s="28" t="s">
        <v>55</v>
      </c>
      <c r="B14" s="35" t="s">
        <v>53</v>
      </c>
      <c r="C14" s="35" t="s">
        <v>53</v>
      </c>
      <c r="D14" s="35" t="s">
        <v>53</v>
      </c>
      <c r="E14" s="29" t="n">
        <v>-16.965</v>
      </c>
      <c r="F14" s="29" t="n">
        <v>-20.729</v>
      </c>
      <c r="G14" s="30" t="n">
        <f aca="false">-G7*假设与输入!B21</f>
        <v>-44.22261</v>
      </c>
      <c r="H14" s="30" t="n">
        <f aca="false">-H7*假设与输入!C21</f>
        <v>-53.15680986</v>
      </c>
      <c r="I14" s="30" t="n">
        <f aca="false">-I7*假设与输入!D21</f>
        <v>-62.6501140224</v>
      </c>
    </row>
    <row r="15" customFormat="false" ht="15" hidden="false" customHeight="true" outlineLevel="0" collapsed="false">
      <c r="A15" s="28" t="s">
        <v>56</v>
      </c>
      <c r="B15" s="35" t="s">
        <v>53</v>
      </c>
      <c r="C15" s="35" t="s">
        <v>53</v>
      </c>
      <c r="D15" s="35" t="s">
        <v>53</v>
      </c>
      <c r="E15" s="29" t="n">
        <v>-0.649</v>
      </c>
      <c r="F15" s="29" t="n">
        <v>-11.324</v>
      </c>
      <c r="G15" s="30" t="n">
        <f aca="false">-G7*假设与输入!B22</f>
        <v>-23.41197</v>
      </c>
      <c r="H15" s="30" t="n">
        <f aca="false">-H7*假设与输入!C22</f>
        <v>-28.99462356</v>
      </c>
      <c r="I15" s="30" t="n">
        <f aca="false">-I7*假设与输入!D22</f>
        <v>-35.2406891376</v>
      </c>
    </row>
    <row r="16" customFormat="false" ht="15" hidden="false" customHeight="true" outlineLevel="0" collapsed="false">
      <c r="A16" s="31" t="s">
        <v>57</v>
      </c>
      <c r="B16" s="36" t="s">
        <v>53</v>
      </c>
      <c r="C16" s="36" t="s">
        <v>53</v>
      </c>
      <c r="D16" s="36" t="s">
        <v>53</v>
      </c>
      <c r="E16" s="32" t="n">
        <f aca="false">E9+E12+E13+E14+E15</f>
        <v>66.732</v>
      </c>
      <c r="F16" s="32" t="n">
        <f aca="false">F9+F12+F13+F14+F15</f>
        <v>59.1</v>
      </c>
      <c r="G16" s="32" t="n">
        <f aca="false">G9+G12+G13+G14+G15</f>
        <v>133.968495</v>
      </c>
      <c r="H16" s="32" t="n">
        <f aca="false">H9+H12+H13+H14+H15</f>
        <v>183.63261588</v>
      </c>
      <c r="I16" s="32" t="n">
        <f aca="false">I9+I12+I13+I14+I15</f>
        <v>244.7270079</v>
      </c>
    </row>
    <row r="17" customFormat="false" ht="15" hidden="false" customHeight="true" outlineLevel="0" collapsed="false">
      <c r="A17" s="28" t="s">
        <v>58</v>
      </c>
      <c r="B17" s="35" t="s">
        <v>53</v>
      </c>
      <c r="C17" s="35" t="s">
        <v>53</v>
      </c>
      <c r="D17" s="35" t="s">
        <v>53</v>
      </c>
      <c r="E17" s="29" t="n">
        <v>0</v>
      </c>
      <c r="F17" s="29" t="n">
        <v>29.865</v>
      </c>
      <c r="G17" s="37" t="n">
        <f aca="false">假设与输入!B34</f>
        <v>29.9</v>
      </c>
      <c r="H17" s="29" t="n">
        <v>0</v>
      </c>
      <c r="I17" s="29" t="n">
        <v>0</v>
      </c>
    </row>
    <row r="18" customFormat="false" ht="15" hidden="false" customHeight="true" outlineLevel="0" collapsed="false">
      <c r="A18" s="38" t="s">
        <v>59</v>
      </c>
      <c r="B18" s="39" t="s">
        <v>53</v>
      </c>
      <c r="C18" s="39" t="s">
        <v>53</v>
      </c>
      <c r="D18" s="39" t="s">
        <v>53</v>
      </c>
      <c r="E18" s="40" t="n">
        <f aca="false">E16+E17</f>
        <v>66.732</v>
      </c>
      <c r="F18" s="40" t="n">
        <f aca="false">F16+F17</f>
        <v>88.965</v>
      </c>
      <c r="G18" s="40" t="n">
        <f aca="false">G16+G17</f>
        <v>163.868495</v>
      </c>
      <c r="H18" s="40" t="n">
        <f aca="false">H16+H17</f>
        <v>183.63261588</v>
      </c>
      <c r="I18" s="40" t="n">
        <f aca="false">I16+I17</f>
        <v>244.7270079</v>
      </c>
    </row>
    <row r="20" customFormat="false" ht="15" hidden="false" customHeight="true" outlineLevel="0" collapsed="false">
      <c r="A20" s="28" t="s">
        <v>60</v>
      </c>
      <c r="B20" s="35" t="s">
        <v>53</v>
      </c>
      <c r="C20" s="35" t="s">
        <v>53</v>
      </c>
      <c r="D20" s="35" t="s">
        <v>53</v>
      </c>
      <c r="E20" s="29" t="n">
        <v>3.675</v>
      </c>
      <c r="F20" s="29" t="n">
        <v>5.449</v>
      </c>
      <c r="G20" s="37" t="n">
        <f aca="false">假设与输入!B26</f>
        <v>11</v>
      </c>
      <c r="H20" s="37" t="n">
        <f aca="false">假设与输入!C26</f>
        <v>13</v>
      </c>
      <c r="I20" s="37" t="n">
        <f aca="false">假设与输入!D26</f>
        <v>15</v>
      </c>
    </row>
    <row r="21" customFormat="false" ht="15" hidden="false" customHeight="true" outlineLevel="0" collapsed="false">
      <c r="A21" s="28" t="s">
        <v>61</v>
      </c>
      <c r="B21" s="35" t="s">
        <v>53</v>
      </c>
      <c r="C21" s="35" t="s">
        <v>53</v>
      </c>
      <c r="D21" s="35" t="s">
        <v>53</v>
      </c>
      <c r="E21" s="29" t="n">
        <v>0.099</v>
      </c>
      <c r="F21" s="29" t="n">
        <v>-4.186</v>
      </c>
      <c r="G21" s="37" t="n">
        <f aca="false">假设与输入!B27</f>
        <v>-7</v>
      </c>
      <c r="H21" s="37" t="n">
        <f aca="false">假设与输入!C27</f>
        <v>-3</v>
      </c>
      <c r="I21" s="37" t="n">
        <f aca="false">假设与输入!D27</f>
        <v>0</v>
      </c>
    </row>
    <row r="22" customFormat="false" ht="15" hidden="false" customHeight="true" outlineLevel="0" collapsed="false">
      <c r="A22" s="28" t="s">
        <v>62</v>
      </c>
      <c r="B22" s="35" t="s">
        <v>53</v>
      </c>
      <c r="C22" s="35" t="s">
        <v>53</v>
      </c>
      <c r="D22" s="35" t="s">
        <v>53</v>
      </c>
      <c r="E22" s="29" t="n">
        <v>0</v>
      </c>
      <c r="F22" s="29" t="n">
        <v>9.805</v>
      </c>
      <c r="G22" s="37" t="n">
        <f aca="false">假设与输入!B35</f>
        <v>9.8</v>
      </c>
      <c r="H22" s="29" t="n">
        <v>0</v>
      </c>
      <c r="I22" s="29" t="n">
        <v>0</v>
      </c>
    </row>
    <row r="23" customFormat="false" ht="15" hidden="false" customHeight="true" outlineLevel="0" collapsed="false">
      <c r="A23" s="33" t="s">
        <v>63</v>
      </c>
      <c r="B23" s="41" t="s">
        <v>53</v>
      </c>
      <c r="C23" s="41" t="s">
        <v>53</v>
      </c>
      <c r="D23" s="41" t="s">
        <v>53</v>
      </c>
      <c r="E23" s="42" t="n">
        <f aca="false">E18+E20+E21+E22</f>
        <v>70.506</v>
      </c>
      <c r="F23" s="42" t="n">
        <f aca="false">F18+F20+F21+F22</f>
        <v>100.033</v>
      </c>
      <c r="G23" s="42" t="n">
        <f aca="false">G18+G20+G21+G22</f>
        <v>177.668495</v>
      </c>
      <c r="H23" s="42" t="n">
        <f aca="false">H18+H20+H21+H22</f>
        <v>193.63261588</v>
      </c>
      <c r="I23" s="42" t="n">
        <f aca="false">I18+I20+I21+I22</f>
        <v>259.7270079</v>
      </c>
    </row>
    <row r="24" customFormat="false" ht="15" hidden="false" customHeight="true" outlineLevel="0" collapsed="false">
      <c r="A24" s="28" t="s">
        <v>64</v>
      </c>
      <c r="B24" s="35" t="s">
        <v>53</v>
      </c>
      <c r="C24" s="35" t="s">
        <v>53</v>
      </c>
      <c r="D24" s="35" t="s">
        <v>53</v>
      </c>
      <c r="E24" s="29" t="n">
        <v>0.061</v>
      </c>
      <c r="F24" s="29" t="n">
        <v>-0.287</v>
      </c>
      <c r="G24" s="30" t="n">
        <f aca="false">-G23*假设与输入!B28</f>
        <v>-3.5533699</v>
      </c>
      <c r="H24" s="30" t="n">
        <f aca="false">-H23*假设与输入!C28</f>
        <v>-3.8726523176</v>
      </c>
      <c r="I24" s="30" t="n">
        <f aca="false">-I23*假设与输入!D28</f>
        <v>-5.194540158</v>
      </c>
    </row>
    <row r="25" customFormat="false" ht="15" hidden="false" customHeight="true" outlineLevel="0" collapsed="false">
      <c r="A25" s="31" t="s">
        <v>65</v>
      </c>
      <c r="B25" s="43" t="n">
        <v>106.4</v>
      </c>
      <c r="C25" s="43" t="n">
        <v>110.2</v>
      </c>
      <c r="D25" s="43" t="n">
        <v>134.8</v>
      </c>
      <c r="E25" s="32" t="n">
        <f aca="false">E23+E24</f>
        <v>70.567</v>
      </c>
      <c r="F25" s="32" t="n">
        <f aca="false">F23+F24</f>
        <v>99.746</v>
      </c>
      <c r="G25" s="32" t="n">
        <f aca="false">G23+G24</f>
        <v>174.1151251</v>
      </c>
      <c r="H25" s="32" t="n">
        <f aca="false">H23+H24</f>
        <v>189.7599635624</v>
      </c>
      <c r="I25" s="32" t="n">
        <f aca="false">I23+I24</f>
        <v>254.532467742</v>
      </c>
    </row>
    <row r="26" customFormat="false" ht="15" hidden="false" customHeight="true" outlineLevel="0" collapsed="false">
      <c r="A26" s="28" t="s">
        <v>66</v>
      </c>
      <c r="B26" s="35" t="s">
        <v>53</v>
      </c>
      <c r="C26" s="35" t="s">
        <v>53</v>
      </c>
      <c r="D26" s="35" t="s">
        <v>53</v>
      </c>
      <c r="E26" s="29" t="n">
        <v>-2.457</v>
      </c>
      <c r="F26" s="29" t="n">
        <v>-0.418</v>
      </c>
      <c r="G26" s="30" t="n">
        <f aca="false">-G25*假设与输入!B29</f>
        <v>-1.741151251</v>
      </c>
      <c r="H26" s="30" t="n">
        <f aca="false">-H25*假设与输入!C29</f>
        <v>-1.897599635624</v>
      </c>
      <c r="I26" s="30" t="n">
        <f aca="false">-I25*假设与输入!D29</f>
        <v>-2.54532467742</v>
      </c>
    </row>
    <row r="27" customFormat="false" ht="15" hidden="false" customHeight="true" outlineLevel="0" collapsed="false">
      <c r="A27" s="38" t="s">
        <v>67</v>
      </c>
      <c r="B27" s="44" t="n">
        <v>71.7</v>
      </c>
      <c r="C27" s="44" t="n">
        <v>66.9</v>
      </c>
      <c r="D27" s="44" t="n">
        <v>130.1</v>
      </c>
      <c r="E27" s="40" t="n">
        <f aca="false">E25+E26</f>
        <v>68.11</v>
      </c>
      <c r="F27" s="40" t="n">
        <f aca="false">F25+F26</f>
        <v>99.328</v>
      </c>
      <c r="G27" s="40" t="n">
        <f aca="false">G25+G26</f>
        <v>172.373973849</v>
      </c>
      <c r="H27" s="40" t="n">
        <f aca="false">H25+H26</f>
        <v>187.862363926776</v>
      </c>
      <c r="I27" s="40" t="n">
        <f aca="false">I25+I26</f>
        <v>251.98714306458</v>
      </c>
    </row>
    <row r="29" customFormat="false" ht="15" hidden="false" customHeight="true" outlineLevel="0" collapsed="false">
      <c r="A29" s="28" t="s">
        <v>68</v>
      </c>
      <c r="B29" s="35" t="s">
        <v>53</v>
      </c>
      <c r="C29" s="35" t="s">
        <v>53</v>
      </c>
      <c r="D29" s="35" t="s">
        <v>53</v>
      </c>
      <c r="E29" s="29" t="n">
        <v>17.116</v>
      </c>
      <c r="F29" s="29" t="n">
        <v>11.606</v>
      </c>
      <c r="G29" s="37" t="n">
        <f aca="false">假设与输入!B30</f>
        <v>24</v>
      </c>
      <c r="H29" s="37" t="n">
        <f aca="false">假设与输入!C30</f>
        <v>27</v>
      </c>
      <c r="I29" s="37" t="n">
        <f aca="false">假设与输入!D30</f>
        <v>29</v>
      </c>
    </row>
    <row r="30" customFormat="false" ht="15" hidden="false" customHeight="true" outlineLevel="0" collapsed="false">
      <c r="A30" s="28" t="s">
        <v>69</v>
      </c>
      <c r="B30" s="35" t="s">
        <v>53</v>
      </c>
      <c r="C30" s="35" t="s">
        <v>53</v>
      </c>
      <c r="D30" s="35" t="s">
        <v>53</v>
      </c>
      <c r="E30" s="29" t="n">
        <v>6.039</v>
      </c>
      <c r="F30" s="29" t="n">
        <v>10.543</v>
      </c>
      <c r="G30" s="37" t="n">
        <f aca="false">假设与输入!B31</f>
        <v>22</v>
      </c>
      <c r="H30" s="37" t="n">
        <f aca="false">假设与输入!C31</f>
        <v>25</v>
      </c>
      <c r="I30" s="37" t="n">
        <f aca="false">假设与输入!D31</f>
        <v>28</v>
      </c>
    </row>
    <row r="31" customFormat="false" ht="15" hidden="false" customHeight="true" outlineLevel="0" collapsed="false">
      <c r="A31" s="45" t="s">
        <v>70</v>
      </c>
      <c r="B31" s="46" t="n">
        <v>94.4</v>
      </c>
      <c r="C31" s="46" t="n">
        <v>134.7</v>
      </c>
      <c r="D31" s="46" t="n">
        <v>169.2</v>
      </c>
      <c r="E31" s="47" t="n">
        <f aca="false">E18+E29+E30</f>
        <v>89.887</v>
      </c>
      <c r="F31" s="47" t="n">
        <f aca="false">F18+F29+F30</f>
        <v>111.114</v>
      </c>
      <c r="G31" s="47" t="n">
        <f aca="false">G18+G29+G30</f>
        <v>209.868495</v>
      </c>
      <c r="H31" s="47" t="n">
        <f aca="false">H18+H29+H30</f>
        <v>235.63261588</v>
      </c>
      <c r="I31" s="47" t="n">
        <f aca="false">I18+I29+I30</f>
        <v>301.7270079</v>
      </c>
    </row>
    <row r="33" customFormat="false" ht="15" hidden="false" customHeight="true" outlineLevel="0" collapsed="false">
      <c r="A33" s="48" t="s">
        <v>71</v>
      </c>
      <c r="B33" s="49"/>
      <c r="C33" s="49"/>
      <c r="D33" s="49"/>
      <c r="E33" s="49"/>
      <c r="F33" s="49"/>
      <c r="G33" s="49"/>
      <c r="H33" s="49"/>
      <c r="I33" s="49"/>
    </row>
    <row r="34" customFormat="false" ht="15" hidden="false" customHeight="true" outlineLevel="0" collapsed="false">
      <c r="A34" s="31" t="s">
        <v>72</v>
      </c>
      <c r="B34" s="50" t="s">
        <v>53</v>
      </c>
      <c r="C34" s="50" t="s">
        <v>53</v>
      </c>
      <c r="D34" s="50" t="s">
        <v>53</v>
      </c>
      <c r="E34" s="51" t="n">
        <f aca="false">E27-E17-E22</f>
        <v>68.11</v>
      </c>
      <c r="F34" s="51" t="n">
        <f aca="false">F27-F17-F22</f>
        <v>59.658</v>
      </c>
      <c r="G34" s="51" t="n">
        <f aca="false">G27-G17-G22</f>
        <v>132.673973849</v>
      </c>
      <c r="H34" s="51" t="n">
        <f aca="false">H27-H17-H22</f>
        <v>187.862363926776</v>
      </c>
      <c r="I34" s="51" t="n">
        <f aca="false">I27-I17-I22</f>
        <v>251.98714306458</v>
      </c>
    </row>
    <row r="35" customFormat="false" ht="15" hidden="false" customHeight="true" outlineLevel="0" collapsed="false">
      <c r="A35" s="45" t="s">
        <v>73</v>
      </c>
      <c r="B35" s="52" t="s">
        <v>53</v>
      </c>
      <c r="C35" s="52" t="s">
        <v>53</v>
      </c>
      <c r="D35" s="52" t="s">
        <v>53</v>
      </c>
      <c r="E35" s="47" t="n">
        <f aca="false">E34+E29*0.99</f>
        <v>85.05484</v>
      </c>
      <c r="F35" s="47" t="n">
        <f aca="false">F34+F29*0.99</f>
        <v>71.14794</v>
      </c>
      <c r="G35" s="47" t="n">
        <f aca="false">G34+G29*0.99</f>
        <v>156.433973849</v>
      </c>
      <c r="H35" s="47" t="n">
        <f aca="false">H34+H29*0.99</f>
        <v>214.592363926776</v>
      </c>
      <c r="I35" s="47" t="n">
        <f aca="false">I34+I29*0.99</f>
        <v>280.69714306458</v>
      </c>
    </row>
    <row r="36" customFormat="false" ht="15" hidden="false" customHeight="true" outlineLevel="0" collapsed="false">
      <c r="A36" s="28" t="s">
        <v>74</v>
      </c>
      <c r="B36" s="29" t="n">
        <v>52.7</v>
      </c>
      <c r="C36" s="29" t="n">
        <v>81.5</v>
      </c>
      <c r="D36" s="29" t="n">
        <v>162.1</v>
      </c>
      <c r="E36" s="29" t="n">
        <v>85.111</v>
      </c>
      <c r="F36" s="29" t="n">
        <v>101.017</v>
      </c>
      <c r="G36" s="30" t="n">
        <f aca="false">G27+G29*0.99-G22</f>
        <v>186.333973849</v>
      </c>
      <c r="H36" s="30" t="n">
        <f aca="false">H27+H29*0.99-H22</f>
        <v>214.592363926776</v>
      </c>
      <c r="I36" s="30" t="n">
        <f aca="false">I27+I29*0.99-I22</f>
        <v>280.69714306458</v>
      </c>
    </row>
    <row r="37" customFormat="false" ht="15" hidden="false" customHeight="true" outlineLevel="0" collapsed="false">
      <c r="A37" s="28" t="s">
        <v>75</v>
      </c>
      <c r="B37" s="35" t="s">
        <v>53</v>
      </c>
      <c r="C37" s="35" t="s">
        <v>53</v>
      </c>
      <c r="D37" s="35" t="s">
        <v>53</v>
      </c>
      <c r="E37" s="30" t="n">
        <f aca="false">E16+E29+E30</f>
        <v>89.887</v>
      </c>
      <c r="F37" s="30" t="n">
        <f aca="false">F16+F29+F30</f>
        <v>81.249</v>
      </c>
      <c r="G37" s="30" t="n">
        <f aca="false">G16+G29+G30</f>
        <v>179.968495</v>
      </c>
      <c r="H37" s="30" t="n">
        <f aca="false">H16+H29+H30</f>
        <v>235.63261588</v>
      </c>
      <c r="I37" s="30" t="n">
        <f aca="false">I16+I29+I30</f>
        <v>301.7270079</v>
      </c>
    </row>
    <row r="39" customFormat="false" ht="15" hidden="false" customHeight="true" outlineLevel="0" collapsed="false">
      <c r="A39" s="16" t="s">
        <v>76</v>
      </c>
      <c r="B39" s="53" t="s">
        <v>53</v>
      </c>
      <c r="C39" s="34" t="n">
        <f aca="false">C7/B7-1</f>
        <v>0.538910505836576</v>
      </c>
      <c r="D39" s="34" t="n">
        <f aca="false">D7/C7-1</f>
        <v>0.353560893383902</v>
      </c>
      <c r="E39" s="53" t="s">
        <v>53</v>
      </c>
      <c r="F39" s="34" t="n">
        <f aca="false">F7/E7-1</f>
        <v>0.370366606826316</v>
      </c>
      <c r="G39" s="34" t="n">
        <f aca="false">G7/D7-1</f>
        <v>0.349797633872976</v>
      </c>
      <c r="H39" s="34" t="n">
        <f aca="false">H7/G7-1</f>
        <v>0.238452960600923</v>
      </c>
      <c r="I39" s="34" t="n">
        <f aca="false">I7/H7-1</f>
        <v>0.215421509600727</v>
      </c>
    </row>
    <row r="40" customFormat="false" ht="15" hidden="false" customHeight="true" outlineLevel="0" collapsed="false">
      <c r="A40" s="16" t="s">
        <v>77</v>
      </c>
      <c r="B40" s="53" t="s">
        <v>53</v>
      </c>
      <c r="C40" s="34" t="n">
        <f aca="false">C27/B27-1</f>
        <v>-0.0669456066945606</v>
      </c>
      <c r="D40" s="34" t="n">
        <f aca="false">D27/C27-1</f>
        <v>0.944693572496263</v>
      </c>
      <c r="E40" s="53" t="s">
        <v>53</v>
      </c>
      <c r="F40" s="34" t="n">
        <f aca="false">F27/E27-1</f>
        <v>0.458346791954191</v>
      </c>
      <c r="G40" s="34" t="n">
        <f aca="false">G27/D27-1</f>
        <v>0.324934464634896</v>
      </c>
      <c r="H40" s="34" t="n">
        <f aca="false">H27/G27-1</f>
        <v>0.0898534142476979</v>
      </c>
      <c r="I40" s="34" t="n">
        <f aca="false">I27/H27-1</f>
        <v>0.341339147434545</v>
      </c>
    </row>
    <row r="41" customFormat="false" ht="15" hidden="false" customHeight="true" outlineLevel="0" collapsed="false">
      <c r="A41" s="16" t="s">
        <v>78</v>
      </c>
      <c r="B41" s="53" t="s">
        <v>53</v>
      </c>
      <c r="C41" s="53" t="s">
        <v>53</v>
      </c>
      <c r="D41" s="53" t="s">
        <v>53</v>
      </c>
      <c r="E41" s="53" t="s">
        <v>53</v>
      </c>
      <c r="F41" s="34" t="n">
        <f aca="false">F35/E35-1</f>
        <v>-0.163505098592861</v>
      </c>
      <c r="G41" s="53" t="s">
        <v>53</v>
      </c>
      <c r="H41" s="34" t="n">
        <f aca="false">H35/G35-1</f>
        <v>0.371775955355543</v>
      </c>
      <c r="I41" s="34" t="n">
        <f aca="false">I35/H35-1</f>
        <v>0.308048142665321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4"/>
  </cols>
  <sheetData>
    <row r="1" customFormat="false" ht="21" hidden="false" customHeight="true" outlineLevel="0" collapsed="false">
      <c r="A1" s="54" t="s">
        <v>79</v>
      </c>
      <c r="B1" s="54"/>
      <c r="C1" s="54"/>
      <c r="D1" s="54"/>
    </row>
    <row r="2" customFormat="false" ht="15" hidden="false" customHeight="true" outlineLevel="0" collapsed="false">
      <c r="A2" s="3" t="s">
        <v>80</v>
      </c>
      <c r="B2" s="3"/>
      <c r="C2" s="3"/>
      <c r="D2" s="3"/>
    </row>
    <row r="4" customFormat="false" ht="15" hidden="false" customHeight="true" outlineLevel="0" collapsed="false">
      <c r="A4" s="55" t="s">
        <v>81</v>
      </c>
      <c r="B4" s="56" t="s">
        <v>11</v>
      </c>
      <c r="C4" s="56" t="s">
        <v>10</v>
      </c>
      <c r="D4" s="57" t="s">
        <v>12</v>
      </c>
    </row>
    <row r="5" customFormat="false" ht="15" hidden="false" customHeight="true" outlineLevel="0" collapsed="false">
      <c r="A5" s="16" t="s">
        <v>82</v>
      </c>
      <c r="B5" s="58" t="n">
        <f aca="false">利润表!E27</f>
        <v>68.11</v>
      </c>
      <c r="C5" s="58" t="n">
        <f aca="false">利润表!F27</f>
        <v>99.328</v>
      </c>
      <c r="D5" s="34" t="n">
        <f aca="false">C5/B5-1</f>
        <v>0.458346791954191</v>
      </c>
    </row>
    <row r="6" customFormat="false" ht="15" hidden="false" customHeight="true" outlineLevel="0" collapsed="false">
      <c r="A6" s="28" t="s">
        <v>83</v>
      </c>
      <c r="B6" s="30" t="n">
        <f aca="false">-利润表!E17</f>
        <v>-0</v>
      </c>
      <c r="C6" s="30" t="n">
        <f aca="false">-利润表!F17</f>
        <v>-29.865</v>
      </c>
      <c r="D6" s="59" t="s">
        <v>53</v>
      </c>
    </row>
    <row r="7" customFormat="false" ht="15" hidden="false" customHeight="true" outlineLevel="0" collapsed="false">
      <c r="A7" s="28" t="s">
        <v>84</v>
      </c>
      <c r="B7" s="30" t="n">
        <f aca="false">-利润表!E22</f>
        <v>-0</v>
      </c>
      <c r="C7" s="30" t="n">
        <f aca="false">-利润表!F22</f>
        <v>-9.805</v>
      </c>
      <c r="D7" s="59" t="s">
        <v>53</v>
      </c>
    </row>
    <row r="8" customFormat="false" ht="15" hidden="false" customHeight="true" outlineLevel="0" collapsed="false">
      <c r="A8" s="45" t="s">
        <v>85</v>
      </c>
      <c r="B8" s="47" t="n">
        <f aca="false">利润表!E34</f>
        <v>68.11</v>
      </c>
      <c r="C8" s="47" t="n">
        <f aca="false">利润表!F34</f>
        <v>59.658</v>
      </c>
      <c r="D8" s="60" t="n">
        <f aca="false">C8/B8-1</f>
        <v>-0.124093378358538</v>
      </c>
    </row>
    <row r="9" customFormat="false" ht="15" hidden="false" customHeight="true" outlineLevel="0" collapsed="false">
      <c r="A9" s="28" t="s">
        <v>86</v>
      </c>
      <c r="B9" s="30" t="n">
        <f aca="false">利润表!E29*0.99</f>
        <v>16.94484</v>
      </c>
      <c r="C9" s="30" t="n">
        <f aca="false">利润表!F29*0.99</f>
        <v>11.48994</v>
      </c>
      <c r="D9" s="61" t="n">
        <f aca="false">C9/B9-1</f>
        <v>-0.321921009581678</v>
      </c>
    </row>
    <row r="10" customFormat="false" ht="15" hidden="false" customHeight="true" outlineLevel="0" collapsed="false">
      <c r="A10" s="62" t="s">
        <v>22</v>
      </c>
      <c r="B10" s="63" t="n">
        <f aca="false">利润表!E35</f>
        <v>85.05484</v>
      </c>
      <c r="C10" s="63" t="n">
        <f aca="false">利润表!F35</f>
        <v>71.14794</v>
      </c>
      <c r="D10" s="64" t="n">
        <f aca="false">C10/B10-1</f>
        <v>-0.163505098592861</v>
      </c>
    </row>
    <row r="11" customFormat="false" ht="15" hidden="false" customHeight="true" outlineLevel="0" collapsed="false">
      <c r="A11" s="65" t="s">
        <v>87</v>
      </c>
      <c r="B11" s="58" t="n">
        <f aca="false">利润表!E36</f>
        <v>85.111</v>
      </c>
      <c r="C11" s="58" t="n">
        <f aca="false">利润表!F36</f>
        <v>101.017</v>
      </c>
      <c r="D11" s="34" t="n">
        <f aca="false">C11/B11-1</f>
        <v>0.18688536146914</v>
      </c>
    </row>
    <row r="13" customFormat="false" ht="15" hidden="false" customHeight="true" outlineLevel="0" collapsed="false">
      <c r="A13" s="12" t="s">
        <v>88</v>
      </c>
      <c r="B13" s="13"/>
      <c r="C13" s="13"/>
      <c r="D13" s="13"/>
    </row>
    <row r="14" customFormat="false" ht="30" hidden="false" customHeight="true" outlineLevel="0" collapsed="false">
      <c r="A14" s="66" t="s">
        <v>89</v>
      </c>
      <c r="B14" s="66"/>
      <c r="C14" s="66"/>
      <c r="D14" s="66"/>
    </row>
    <row r="15" customFormat="false" ht="30" hidden="false" customHeight="true" outlineLevel="0" collapsed="false">
      <c r="A15" s="66" t="s">
        <v>90</v>
      </c>
      <c r="B15" s="66"/>
      <c r="C15" s="66"/>
      <c r="D15" s="66"/>
    </row>
    <row r="16" customFormat="false" ht="30" hidden="false" customHeight="true" outlineLevel="0" collapsed="false">
      <c r="A16" s="66" t="s">
        <v>91</v>
      </c>
      <c r="B16" s="66"/>
      <c r="C16" s="66"/>
      <c r="D16" s="66"/>
    </row>
    <row r="17" customFormat="false" ht="30" hidden="false" customHeight="true" outlineLevel="0" collapsed="false">
      <c r="A17" s="66" t="s">
        <v>92</v>
      </c>
      <c r="B17" s="66"/>
      <c r="C17" s="66"/>
      <c r="D17" s="66"/>
    </row>
    <row r="18" customFormat="false" ht="30" hidden="false" customHeight="true" outlineLevel="0" collapsed="false">
      <c r="A18" s="66" t="s">
        <v>93</v>
      </c>
      <c r="B18" s="66"/>
      <c r="C18" s="66"/>
      <c r="D18" s="66"/>
    </row>
  </sheetData>
  <mergeCells count="7">
    <mergeCell ref="A1:D1"/>
    <mergeCell ref="A2:D2"/>
    <mergeCell ref="A14:D14"/>
    <mergeCell ref="A15:D15"/>
    <mergeCell ref="A16:D16"/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3"/>
  </cols>
  <sheetData>
    <row r="1" customFormat="false" ht="19.5" hidden="false" customHeight="true" outlineLevel="0" collapsed="false">
      <c r="A1" s="24" t="s">
        <v>94</v>
      </c>
      <c r="B1" s="24"/>
      <c r="C1" s="24"/>
      <c r="D1" s="24"/>
      <c r="E1" s="24"/>
      <c r="F1" s="24"/>
    </row>
    <row r="2" customFormat="false" ht="13.5" hidden="false" customHeight="true" outlineLevel="0" collapsed="false">
      <c r="A2" s="3" t="s">
        <v>95</v>
      </c>
      <c r="B2" s="3"/>
      <c r="C2" s="3"/>
      <c r="D2" s="3"/>
      <c r="E2" s="3"/>
      <c r="F2" s="3"/>
    </row>
    <row r="4" customFormat="false" ht="16.5" hidden="false" customHeight="true" outlineLevel="0" collapsed="false">
      <c r="A4" s="55" t="s">
        <v>96</v>
      </c>
      <c r="B4" s="56" t="s">
        <v>97</v>
      </c>
      <c r="C4" s="56" t="s">
        <v>98</v>
      </c>
      <c r="D4" s="56" t="s">
        <v>99</v>
      </c>
      <c r="E4" s="56" t="s">
        <v>100</v>
      </c>
      <c r="F4" s="56" t="s">
        <v>101</v>
      </c>
    </row>
    <row r="5" customFormat="false" ht="15" hidden="false" customHeight="true" outlineLevel="0" collapsed="false">
      <c r="A5" s="16" t="s">
        <v>14</v>
      </c>
      <c r="B5" s="67" t="n">
        <v>2359816</v>
      </c>
      <c r="C5" s="67" t="n">
        <v>2799690</v>
      </c>
      <c r="D5" s="67" t="n">
        <v>3307799</v>
      </c>
      <c r="E5" s="67" t="n">
        <v>5091547</v>
      </c>
      <c r="F5" s="67" t="n">
        <v>6888850</v>
      </c>
    </row>
    <row r="6" customFormat="false" ht="15" hidden="false" customHeight="true" outlineLevel="0" collapsed="false">
      <c r="A6" s="16" t="s">
        <v>16</v>
      </c>
      <c r="B6" s="67" t="n">
        <v>1003320</v>
      </c>
      <c r="C6" s="67" t="n">
        <v>1057907</v>
      </c>
      <c r="D6" s="67" t="n">
        <v>1722083</v>
      </c>
      <c r="E6" s="67" t="n">
        <v>2607667</v>
      </c>
      <c r="F6" s="67" t="n">
        <v>3847279</v>
      </c>
    </row>
    <row r="7" customFormat="false" ht="15" hidden="false" customHeight="true" outlineLevel="0" collapsed="false">
      <c r="A7" s="28" t="s">
        <v>102</v>
      </c>
      <c r="B7" s="68" t="n">
        <f aca="false">B6/B5</f>
        <v>0.425168741969713</v>
      </c>
      <c r="C7" s="68" t="n">
        <f aca="false">C6/C5</f>
        <v>0.377865763709554</v>
      </c>
      <c r="D7" s="68" t="n">
        <f aca="false">D6/D5</f>
        <v>0.520612951391545</v>
      </c>
      <c r="E7" s="68" t="n">
        <f aca="false">E6/E5</f>
        <v>0.512156128579389</v>
      </c>
      <c r="F7" s="68" t="n">
        <f aca="false">F6/F5</f>
        <v>0.558479136575771</v>
      </c>
    </row>
    <row r="8" customFormat="false" ht="15" hidden="false" customHeight="true" outlineLevel="0" collapsed="false">
      <c r="A8" s="28" t="s">
        <v>103</v>
      </c>
      <c r="B8" s="67" t="n">
        <v>-393881</v>
      </c>
      <c r="C8" s="67" t="n">
        <v>287379</v>
      </c>
      <c r="D8" s="67" t="n">
        <v>772758</v>
      </c>
      <c r="E8" s="67" t="n">
        <v>784841</v>
      </c>
      <c r="F8" s="67" t="n">
        <v>955186</v>
      </c>
    </row>
    <row r="9" customFormat="false" ht="15" hidden="false" customHeight="true" outlineLevel="0" collapsed="false">
      <c r="A9" s="28" t="s">
        <v>104</v>
      </c>
      <c r="B9" s="67" t="n">
        <v>-387125</v>
      </c>
      <c r="C9" s="67" t="n">
        <v>287335</v>
      </c>
      <c r="D9" s="67" t="n">
        <v>760612</v>
      </c>
      <c r="E9" s="67" t="n">
        <v>787773</v>
      </c>
      <c r="F9" s="67" t="n">
        <v>963705</v>
      </c>
    </row>
    <row r="10" customFormat="false" ht="15" hidden="false" customHeight="true" outlineLevel="0" collapsed="false">
      <c r="A10" s="69" t="s">
        <v>105</v>
      </c>
      <c r="B10" s="70" t="n">
        <f aca="false">B9/B5</f>
        <v>-0.164048807195137</v>
      </c>
      <c r="C10" s="70" t="n">
        <f aca="false">C9/C5</f>
        <v>0.102631005575617</v>
      </c>
      <c r="D10" s="70" t="n">
        <f aca="false">D9/D5</f>
        <v>0.22994504805159</v>
      </c>
      <c r="E10" s="70" t="n">
        <f aca="false">E9/E5</f>
        <v>0.154721737813674</v>
      </c>
      <c r="F10" s="70" t="n">
        <f aca="false">F9/F5</f>
        <v>0.139893451011417</v>
      </c>
    </row>
    <row r="11" customFormat="false" ht="15" hidden="false" customHeight="true" outlineLevel="0" collapsed="false">
      <c r="A11" s="28" t="s">
        <v>106</v>
      </c>
      <c r="B11" s="67" t="n">
        <v>357067</v>
      </c>
      <c r="C11" s="67" t="n">
        <v>374688</v>
      </c>
      <c r="D11" s="67" t="n">
        <v>674638</v>
      </c>
      <c r="E11" s="67" t="n">
        <v>963144</v>
      </c>
      <c r="F11" s="67" t="n">
        <v>1214806</v>
      </c>
    </row>
    <row r="12" customFormat="false" ht="15" hidden="false" customHeight="true" outlineLevel="0" collapsed="false">
      <c r="A12" s="69" t="s">
        <v>107</v>
      </c>
      <c r="B12" s="70" t="n">
        <f aca="false">B11/B5</f>
        <v>0.151311373429115</v>
      </c>
      <c r="C12" s="70" t="n">
        <f aca="false">C11/C5</f>
        <v>0.133831959966996</v>
      </c>
      <c r="D12" s="70" t="n">
        <f aca="false">D11/D5</f>
        <v>0.203953746887281</v>
      </c>
      <c r="E12" s="70" t="n">
        <f aca="false">E11/E5</f>
        <v>0.189165296912707</v>
      </c>
      <c r="F12" s="70" t="n">
        <f aca="false">F11/F5</f>
        <v>0.176343801940817</v>
      </c>
    </row>
    <row r="13" customFormat="false" ht="15" hidden="false" customHeight="true" outlineLevel="0" collapsed="false">
      <c r="A13" s="28" t="s">
        <v>108</v>
      </c>
      <c r="B13" s="67" t="n">
        <v>85932</v>
      </c>
      <c r="C13" s="67" t="n">
        <v>168546</v>
      </c>
      <c r="D13" s="67" t="n">
        <v>377023</v>
      </c>
      <c r="E13" s="67" t="n">
        <v>582467</v>
      </c>
      <c r="F13" s="67" t="n">
        <v>1158748</v>
      </c>
    </row>
    <row r="14" customFormat="false" ht="15" hidden="false" customHeight="true" outlineLevel="0" collapsed="false">
      <c r="A14" s="28" t="s">
        <v>109</v>
      </c>
      <c r="B14" s="35" t="s">
        <v>53</v>
      </c>
      <c r="C14" s="61" t="n">
        <f aca="false">C5/B5-1</f>
        <v>0.186401821158938</v>
      </c>
      <c r="D14" s="61" t="n">
        <f aca="false">D5/C5-1</f>
        <v>0.181487593269255</v>
      </c>
      <c r="E14" s="61" t="n">
        <f aca="false">E5/D5-1</f>
        <v>0.539255257045546</v>
      </c>
      <c r="F14" s="61" t="n">
        <f aca="false">F5/E5-1</f>
        <v>0.352997428875743</v>
      </c>
    </row>
    <row r="15" customFormat="false" ht="15" hidden="false" customHeight="true" outlineLevel="0" collapsed="false">
      <c r="A15" s="28" t="s">
        <v>110</v>
      </c>
      <c r="B15" s="35" t="s">
        <v>53</v>
      </c>
      <c r="C15" s="61" t="n">
        <f aca="false">C13/B13-1</f>
        <v>0.9613880742913</v>
      </c>
      <c r="D15" s="61" t="n">
        <f aca="false">D13/C13-1</f>
        <v>1.23691455151709</v>
      </c>
      <c r="E15" s="61" t="n">
        <f aca="false">E13/D13-1</f>
        <v>0.544911053171822</v>
      </c>
      <c r="F15" s="61" t="n">
        <f aca="false">F13/E13-1</f>
        <v>0.989379655843164</v>
      </c>
    </row>
    <row r="17" customFormat="false" ht="16.5" hidden="false" customHeight="true" outlineLevel="0" collapsed="false">
      <c r="A17" s="55" t="s">
        <v>111</v>
      </c>
      <c r="B17" s="56" t="s">
        <v>97</v>
      </c>
      <c r="C17" s="56" t="s">
        <v>98</v>
      </c>
      <c r="D17" s="56" t="s">
        <v>99</v>
      </c>
      <c r="E17" s="56" t="s">
        <v>100</v>
      </c>
      <c r="F17" s="56" t="s">
        <v>101</v>
      </c>
    </row>
    <row r="18" customFormat="false" ht="15" hidden="false" customHeight="true" outlineLevel="0" collapsed="false">
      <c r="A18" s="28" t="s">
        <v>112</v>
      </c>
      <c r="B18" s="67" t="n">
        <v>1622428</v>
      </c>
      <c r="C18" s="67" t="n">
        <v>1720217</v>
      </c>
      <c r="D18" s="67" t="n">
        <v>2790856</v>
      </c>
      <c r="E18" s="67" t="n">
        <v>3582988</v>
      </c>
      <c r="F18" s="67" t="n">
        <v>4394178</v>
      </c>
    </row>
    <row r="19" customFormat="false" ht="15" hidden="false" customHeight="true" outlineLevel="0" collapsed="false">
      <c r="A19" s="28" t="s">
        <v>113</v>
      </c>
      <c r="B19" s="67" t="n">
        <v>782334</v>
      </c>
      <c r="C19" s="67" t="n">
        <v>482207</v>
      </c>
      <c r="D19" s="67" t="n">
        <v>843361</v>
      </c>
      <c r="E19" s="67" t="n">
        <v>1928103</v>
      </c>
      <c r="F19" s="67" t="n">
        <v>1819790</v>
      </c>
    </row>
    <row r="20" customFormat="false" ht="15" hidden="false" customHeight="true" outlineLevel="0" collapsed="false">
      <c r="A20" s="28" t="s">
        <v>114</v>
      </c>
      <c r="B20" s="67" t="n">
        <v>840094</v>
      </c>
      <c r="C20" s="67" t="n">
        <v>1238010</v>
      </c>
      <c r="D20" s="67" t="n">
        <v>1947495</v>
      </c>
      <c r="E20" s="67" t="n">
        <v>1654885</v>
      </c>
      <c r="F20" s="67" t="n">
        <v>2574388</v>
      </c>
    </row>
    <row r="21" customFormat="false" ht="15" hidden="false" customHeight="true" outlineLevel="0" collapsed="false">
      <c r="A21" s="28" t="s">
        <v>115</v>
      </c>
      <c r="B21" s="34" t="n">
        <f aca="false">B19/B18</f>
        <v>0.48219951825289</v>
      </c>
      <c r="C21" s="34" t="n">
        <f aca="false">C19/C18</f>
        <v>0.280317541333448</v>
      </c>
      <c r="D21" s="34" t="n">
        <f aca="false">D19/D18</f>
        <v>0.302187214245379</v>
      </c>
      <c r="E21" s="34" t="n">
        <f aca="false">E19/E18</f>
        <v>0.538127116250459</v>
      </c>
      <c r="F21" s="34" t="n">
        <f aca="false">F19/F18</f>
        <v>0.414136614402057</v>
      </c>
    </row>
    <row r="23" customFormat="false" ht="15" hidden="false" customHeight="true" outlineLevel="0" collapsed="false">
      <c r="A23" s="12" t="s">
        <v>116</v>
      </c>
      <c r="B23" s="13"/>
      <c r="C23" s="13"/>
      <c r="D23" s="13"/>
      <c r="E23" s="13"/>
      <c r="F23" s="13"/>
    </row>
    <row r="24" customFormat="false" ht="27.75" hidden="false" customHeight="true" outlineLevel="0" collapsed="false">
      <c r="A24" s="71" t="s">
        <v>117</v>
      </c>
      <c r="B24" s="71"/>
      <c r="C24" s="71"/>
      <c r="D24" s="71"/>
      <c r="E24" s="71"/>
      <c r="F24" s="71"/>
    </row>
    <row r="25" customFormat="false" ht="27.75" hidden="false" customHeight="true" outlineLevel="0" collapsed="false">
      <c r="A25" s="71" t="s">
        <v>118</v>
      </c>
      <c r="B25" s="71"/>
      <c r="C25" s="71"/>
      <c r="D25" s="71"/>
      <c r="E25" s="71"/>
      <c r="F25" s="71"/>
    </row>
    <row r="26" customFormat="false" ht="27.75" hidden="false" customHeight="true" outlineLevel="0" collapsed="false">
      <c r="A26" s="71" t="s">
        <v>119</v>
      </c>
      <c r="B26" s="71"/>
      <c r="C26" s="71"/>
      <c r="D26" s="71"/>
      <c r="E26" s="71"/>
      <c r="F26" s="71"/>
    </row>
    <row r="27" customFormat="false" ht="27.75" hidden="false" customHeight="true" outlineLevel="0" collapsed="false">
      <c r="A27" s="71" t="s">
        <v>120</v>
      </c>
      <c r="B27" s="71"/>
      <c r="C27" s="71"/>
      <c r="D27" s="71"/>
      <c r="E27" s="71"/>
      <c r="F27" s="71"/>
    </row>
    <row r="28" customFormat="false" ht="27.75" hidden="false" customHeight="true" outlineLevel="0" collapsed="false">
      <c r="A28" s="71" t="s">
        <v>121</v>
      </c>
      <c r="B28" s="71"/>
      <c r="C28" s="71"/>
      <c r="D28" s="71"/>
      <c r="E28" s="71"/>
      <c r="F28" s="71"/>
    </row>
    <row r="29" customFormat="false" ht="27.75" hidden="false" customHeight="true" outlineLevel="0" collapsed="false">
      <c r="A29" s="71" t="s">
        <v>122</v>
      </c>
      <c r="B29" s="71"/>
      <c r="C29" s="71"/>
      <c r="D29" s="71"/>
      <c r="E29" s="71"/>
      <c r="F29" s="71"/>
    </row>
  </sheetData>
  <mergeCells count="8">
    <mergeCell ref="A1:F1"/>
    <mergeCell ref="A2:F2"/>
    <mergeCell ref="A24:F24"/>
    <mergeCell ref="A25:F25"/>
    <mergeCell ref="A26:F26"/>
    <mergeCell ref="A27:F27"/>
    <mergeCell ref="A28:F28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3"/>
    <col collapsed="false" customWidth="true" hidden="false" outlineLevel="0" max="6" min="6" style="1" width="26"/>
  </cols>
  <sheetData>
    <row r="1" customFormat="false" ht="19.5" hidden="false" customHeight="true" outlineLevel="0" collapsed="false">
      <c r="A1" s="72" t="s">
        <v>123</v>
      </c>
      <c r="B1" s="72"/>
      <c r="C1" s="72"/>
      <c r="D1" s="72"/>
      <c r="E1" s="72"/>
      <c r="F1" s="72"/>
    </row>
    <row r="2" customFormat="false" ht="13.5" hidden="false" customHeight="true" outlineLevel="0" collapsed="false">
      <c r="A2" s="3" t="s">
        <v>124</v>
      </c>
      <c r="B2" s="3"/>
      <c r="C2" s="3"/>
      <c r="D2" s="3"/>
      <c r="E2" s="3"/>
      <c r="F2" s="3"/>
    </row>
    <row r="4" customFormat="false" ht="16.5" hidden="false" customHeight="true" outlineLevel="0" collapsed="false">
      <c r="A4" s="12" t="s">
        <v>125</v>
      </c>
      <c r="B4" s="13"/>
      <c r="C4" s="13"/>
      <c r="D4" s="13"/>
      <c r="E4" s="13"/>
      <c r="F4" s="13"/>
    </row>
    <row r="5" customFormat="false" ht="15" hidden="false" customHeight="true" outlineLevel="0" collapsed="false">
      <c r="A5" s="14" t="s">
        <v>9</v>
      </c>
      <c r="B5" s="15" t="s">
        <v>11</v>
      </c>
      <c r="C5" s="15" t="s">
        <v>126</v>
      </c>
      <c r="D5" s="15" t="s">
        <v>10</v>
      </c>
      <c r="E5" s="15" t="s">
        <v>127</v>
      </c>
      <c r="F5" s="5" t="s">
        <v>128</v>
      </c>
    </row>
    <row r="6" customFormat="false" ht="15" hidden="false" customHeight="true" outlineLevel="0" collapsed="false">
      <c r="A6" s="16" t="s">
        <v>129</v>
      </c>
      <c r="B6" s="73" t="n">
        <v>6.1</v>
      </c>
      <c r="C6" s="73" t="n">
        <v>8.6</v>
      </c>
      <c r="D6" s="73" t="n">
        <v>12.2</v>
      </c>
      <c r="E6" s="74" t="n">
        <f aca="false">D6/B6-1</f>
        <v>1</v>
      </c>
      <c r="F6" s="75" t="s">
        <v>130</v>
      </c>
    </row>
    <row r="7" customFormat="false" ht="15" hidden="false" customHeight="true" outlineLevel="0" collapsed="false">
      <c r="A7" s="65" t="s">
        <v>131</v>
      </c>
      <c r="B7" s="76" t="n">
        <v>8.8</v>
      </c>
      <c r="C7" s="76" t="n">
        <v>11.5</v>
      </c>
      <c r="D7" s="76" t="n">
        <v>12.8</v>
      </c>
      <c r="E7" s="18" t="n">
        <f aca="false">D7/B7-1</f>
        <v>0.454545454545455</v>
      </c>
      <c r="F7" s="75" t="s">
        <v>132</v>
      </c>
    </row>
    <row r="8" customFormat="false" ht="15" hidden="false" customHeight="true" outlineLevel="0" collapsed="false">
      <c r="A8" s="33" t="s">
        <v>133</v>
      </c>
      <c r="B8" s="77" t="n">
        <f aca="false">B7/B6</f>
        <v>1.44262295081967</v>
      </c>
      <c r="C8" s="77" t="n">
        <f aca="false">C7/C6</f>
        <v>1.33720930232558</v>
      </c>
      <c r="D8" s="77" t="n">
        <f aca="false">D7/D6</f>
        <v>1.04918032786885</v>
      </c>
      <c r="E8" s="78" t="n">
        <f aca="false">D8/B8-1</f>
        <v>-0.272727272727273</v>
      </c>
      <c r="F8" s="75" t="s">
        <v>134</v>
      </c>
    </row>
    <row r="9" customFormat="false" ht="15" hidden="false" customHeight="true" outlineLevel="0" collapsed="false">
      <c r="A9" s="65" t="s">
        <v>135</v>
      </c>
      <c r="D9" s="79" t="n">
        <f aca="false">利润表!F7/利润表!E7-1</f>
        <v>0.370366606826316</v>
      </c>
      <c r="F9" s="75" t="s">
        <v>136</v>
      </c>
    </row>
    <row r="10" customFormat="false" ht="15" hidden="false" customHeight="true" outlineLevel="0" collapsed="false">
      <c r="A10" s="65" t="s">
        <v>137</v>
      </c>
      <c r="D10" s="80" t="n">
        <f aca="false">利润表!F12/利润表!E12-1</f>
        <v>0.639809508782248</v>
      </c>
      <c r="F10" s="75" t="s">
        <v>138</v>
      </c>
    </row>
    <row r="12" customFormat="false" ht="16.5" hidden="false" customHeight="true" outlineLevel="0" collapsed="false">
      <c r="A12" s="12" t="s">
        <v>139</v>
      </c>
      <c r="B12" s="13"/>
      <c r="C12" s="13"/>
      <c r="D12" s="13"/>
      <c r="E12" s="13"/>
      <c r="F12" s="13"/>
    </row>
    <row r="13" customFormat="false" ht="15" hidden="false" customHeight="true" outlineLevel="0" collapsed="false">
      <c r="A13" s="65" t="s">
        <v>140</v>
      </c>
      <c r="B13" s="17" t="n">
        <f aca="false">D7*6</f>
        <v>76.8</v>
      </c>
      <c r="C13" s="81" t="s">
        <v>141</v>
      </c>
      <c r="D13" s="81"/>
      <c r="E13" s="81"/>
      <c r="F13" s="81"/>
    </row>
    <row r="14" customFormat="false" ht="15" hidden="false" customHeight="true" outlineLevel="0" collapsed="false">
      <c r="A14" s="16" t="s">
        <v>142</v>
      </c>
      <c r="B14" s="82" t="n">
        <f aca="false">利润表!F7</f>
        <v>606.86</v>
      </c>
      <c r="C14" s="81"/>
      <c r="D14" s="81"/>
      <c r="E14" s="81"/>
      <c r="F14" s="81"/>
    </row>
    <row r="15" customFormat="false" ht="15" hidden="false" customHeight="true" outlineLevel="0" collapsed="false">
      <c r="A15" s="83" t="s">
        <v>143</v>
      </c>
      <c r="B15" s="84" t="n">
        <f aca="false">B13/B14</f>
        <v>0.126553076492107</v>
      </c>
      <c r="C15" s="81"/>
      <c r="D15" s="81"/>
      <c r="E15" s="81"/>
      <c r="F15" s="81"/>
    </row>
    <row r="17" customFormat="false" ht="16.5" hidden="false" customHeight="true" outlineLevel="0" collapsed="false">
      <c r="A17" s="12" t="s">
        <v>144</v>
      </c>
      <c r="B17" s="13"/>
      <c r="C17" s="13"/>
      <c r="D17" s="13"/>
      <c r="E17" s="13"/>
      <c r="F17" s="13"/>
    </row>
    <row r="18" customFormat="false" ht="15" hidden="false" customHeight="true" outlineLevel="0" collapsed="false">
      <c r="A18" s="14" t="s">
        <v>145</v>
      </c>
      <c r="B18" s="85" t="s">
        <v>146</v>
      </c>
      <c r="C18" s="85"/>
      <c r="D18" s="85"/>
      <c r="E18" s="85"/>
      <c r="F18" s="85"/>
    </row>
    <row r="19" customFormat="false" ht="15" hidden="false" customHeight="true" outlineLevel="0" collapsed="false">
      <c r="A19" s="14" t="s">
        <v>147</v>
      </c>
      <c r="B19" s="85" t="s">
        <v>148</v>
      </c>
      <c r="C19" s="85"/>
      <c r="D19" s="85"/>
      <c r="E19" s="85"/>
      <c r="F19" s="85"/>
    </row>
    <row r="20" customFormat="false" ht="29.25" hidden="false" customHeight="true" outlineLevel="0" collapsed="false">
      <c r="A20" s="86" t="s">
        <v>149</v>
      </c>
      <c r="B20" s="87" t="s">
        <v>150</v>
      </c>
      <c r="C20" s="87"/>
      <c r="D20" s="87"/>
      <c r="E20" s="87"/>
      <c r="F20" s="87"/>
    </row>
    <row r="22" customFormat="false" ht="15" hidden="false" customHeight="true" outlineLevel="0" collapsed="false">
      <c r="A22" s="12" t="s">
        <v>151</v>
      </c>
      <c r="B22" s="13"/>
      <c r="C22" s="13"/>
      <c r="D22" s="13"/>
      <c r="E22" s="13"/>
      <c r="F22" s="13"/>
    </row>
    <row r="23" customFormat="false" ht="30" hidden="false" customHeight="true" outlineLevel="0" collapsed="false">
      <c r="A23" s="66" t="s">
        <v>152</v>
      </c>
      <c r="B23" s="66"/>
      <c r="C23" s="66"/>
      <c r="D23" s="66"/>
      <c r="E23" s="66"/>
      <c r="F23" s="66"/>
    </row>
    <row r="24" customFormat="false" ht="30" hidden="false" customHeight="true" outlineLevel="0" collapsed="false">
      <c r="A24" s="66" t="s">
        <v>153</v>
      </c>
      <c r="B24" s="66"/>
      <c r="C24" s="66"/>
      <c r="D24" s="66"/>
      <c r="E24" s="66"/>
      <c r="F24" s="66"/>
    </row>
    <row r="25" customFormat="false" ht="30" hidden="false" customHeight="true" outlineLevel="0" collapsed="false">
      <c r="A25" s="66" t="s">
        <v>154</v>
      </c>
      <c r="B25" s="66"/>
      <c r="C25" s="66"/>
      <c r="D25" s="66"/>
      <c r="E25" s="66"/>
      <c r="F25" s="66"/>
    </row>
  </sheetData>
  <mergeCells count="9">
    <mergeCell ref="A1:F1"/>
    <mergeCell ref="A2:F2"/>
    <mergeCell ref="C13:F15"/>
    <mergeCell ref="B18:F18"/>
    <mergeCell ref="B19:F19"/>
    <mergeCell ref="B20:F20"/>
    <mergeCell ref="A23:F23"/>
    <mergeCell ref="A24:F24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22"/>
  </cols>
  <sheetData>
    <row r="1" customFormat="false" ht="19.5" hidden="false" customHeight="true" outlineLevel="0" collapsed="false">
      <c r="A1" s="24" t="s">
        <v>155</v>
      </c>
      <c r="B1" s="24"/>
      <c r="C1" s="24"/>
      <c r="D1" s="24"/>
      <c r="E1" s="24"/>
      <c r="F1" s="24"/>
      <c r="G1" s="24"/>
      <c r="H1" s="24"/>
    </row>
    <row r="2" customFormat="false" ht="13.5" hidden="false" customHeight="true" outlineLevel="0" collapsed="false">
      <c r="A2" s="3" t="s">
        <v>156</v>
      </c>
      <c r="B2" s="3"/>
      <c r="C2" s="3"/>
      <c r="D2" s="3"/>
      <c r="E2" s="3"/>
      <c r="F2" s="3"/>
      <c r="G2" s="3"/>
      <c r="H2" s="3"/>
    </row>
    <row r="4" customFormat="false" ht="16.5" hidden="false" customHeight="true" outlineLevel="0" collapsed="false">
      <c r="A4" s="57" t="s">
        <v>157</v>
      </c>
      <c r="B4" s="57" t="s">
        <v>158</v>
      </c>
      <c r="C4" s="57" t="s">
        <v>159</v>
      </c>
      <c r="D4" s="57" t="s">
        <v>160</v>
      </c>
      <c r="E4" s="57" t="s">
        <v>161</v>
      </c>
      <c r="F4" s="57" t="s">
        <v>162</v>
      </c>
      <c r="G4" s="57" t="s">
        <v>163</v>
      </c>
      <c r="H4" s="57" t="s">
        <v>164</v>
      </c>
    </row>
    <row r="5" customFormat="false" ht="15" hidden="false" customHeight="true" outlineLevel="0" collapsed="false">
      <c r="A5" s="88" t="s">
        <v>165</v>
      </c>
      <c r="B5" s="88" t="s">
        <v>166</v>
      </c>
      <c r="C5" s="89" t="s">
        <v>167</v>
      </c>
      <c r="D5" s="90" t="n">
        <v>526000</v>
      </c>
      <c r="E5" s="91" t="n">
        <v>3.7788</v>
      </c>
      <c r="F5" s="90" t="n">
        <v>71837833</v>
      </c>
      <c r="G5" s="92" t="n">
        <v>0.0603</v>
      </c>
      <c r="H5" s="93" t="s">
        <v>168</v>
      </c>
    </row>
    <row r="6" customFormat="false" ht="15" hidden="false" customHeight="true" outlineLevel="0" collapsed="false">
      <c r="A6" s="88" t="s">
        <v>165</v>
      </c>
      <c r="B6" s="88" t="s">
        <v>169</v>
      </c>
      <c r="C6" s="89" t="s">
        <v>170</v>
      </c>
      <c r="D6" s="90" t="n">
        <v>526000</v>
      </c>
      <c r="E6" s="91" t="n">
        <v>3.7788</v>
      </c>
      <c r="F6" s="90" t="n">
        <v>61344403</v>
      </c>
      <c r="G6" s="92" t="n">
        <v>0.0514</v>
      </c>
      <c r="H6" s="93" t="s">
        <v>168</v>
      </c>
    </row>
    <row r="7" customFormat="false" ht="15" hidden="false" customHeight="true" outlineLevel="0" collapsed="false">
      <c r="A7" s="94" t="s">
        <v>171</v>
      </c>
      <c r="B7" s="94" t="s">
        <v>172</v>
      </c>
      <c r="C7" s="95" t="s">
        <v>173</v>
      </c>
      <c r="D7" s="96" t="n">
        <v>-20458000</v>
      </c>
      <c r="E7" s="97" t="n">
        <v>3.7889</v>
      </c>
      <c r="F7" s="98" t="n">
        <v>59500948</v>
      </c>
      <c r="G7" s="99" t="n">
        <v>0.0499</v>
      </c>
      <c r="H7" s="93" t="s">
        <v>174</v>
      </c>
    </row>
    <row r="8" customFormat="false" ht="15" hidden="false" customHeight="true" outlineLevel="0" collapsed="false">
      <c r="A8" s="88" t="s">
        <v>175</v>
      </c>
      <c r="B8" s="88" t="s">
        <v>169</v>
      </c>
      <c r="C8" s="89" t="s">
        <v>170</v>
      </c>
      <c r="D8" s="90" t="n">
        <v>500000</v>
      </c>
      <c r="E8" s="91" t="n">
        <v>3.9285</v>
      </c>
      <c r="F8" s="90" t="n">
        <v>71932403</v>
      </c>
      <c r="G8" s="92" t="n">
        <v>0.0603</v>
      </c>
      <c r="H8" s="93" t="s">
        <v>176</v>
      </c>
    </row>
    <row r="9" customFormat="false" ht="15" hidden="false" customHeight="true" outlineLevel="0" collapsed="false">
      <c r="A9" s="88" t="s">
        <v>177</v>
      </c>
      <c r="B9" s="88" t="s">
        <v>166</v>
      </c>
      <c r="C9" s="89" t="s">
        <v>167</v>
      </c>
      <c r="D9" s="90" t="n">
        <v>1010000</v>
      </c>
      <c r="E9" s="91" t="n">
        <v>3.9573</v>
      </c>
      <c r="F9" s="90" t="n">
        <v>83485833</v>
      </c>
      <c r="G9" s="92" t="n">
        <v>0.07</v>
      </c>
      <c r="H9" s="93" t="s">
        <v>176</v>
      </c>
    </row>
    <row r="10" customFormat="false" ht="15" hidden="false" customHeight="true" outlineLevel="0" collapsed="false">
      <c r="A10" s="100" t="s">
        <v>178</v>
      </c>
      <c r="B10" s="101" t="s">
        <v>179</v>
      </c>
      <c r="C10" s="102" t="s">
        <v>180</v>
      </c>
      <c r="D10" s="103" t="s">
        <v>53</v>
      </c>
      <c r="E10" s="103" t="s">
        <v>53</v>
      </c>
      <c r="F10" s="104" t="n">
        <v>341828420</v>
      </c>
      <c r="G10" s="105" t="n">
        <v>0.2423</v>
      </c>
      <c r="H10" s="93" t="s">
        <v>181</v>
      </c>
    </row>
    <row r="11" customFormat="false" ht="15" hidden="false" customHeight="true" outlineLevel="0" collapsed="false">
      <c r="A11" s="100" t="s">
        <v>178</v>
      </c>
      <c r="B11" s="101" t="s">
        <v>182</v>
      </c>
      <c r="C11" s="102" t="s">
        <v>180</v>
      </c>
      <c r="D11" s="103" t="s">
        <v>53</v>
      </c>
      <c r="E11" s="103" t="s">
        <v>53</v>
      </c>
      <c r="F11" s="104" t="n">
        <v>341828420</v>
      </c>
      <c r="G11" s="105" t="n">
        <v>0.2423</v>
      </c>
      <c r="H11" s="93" t="s">
        <v>181</v>
      </c>
    </row>
    <row r="12" customFormat="false" ht="15" hidden="false" customHeight="true" outlineLevel="0" collapsed="false">
      <c r="A12" s="100" t="s">
        <v>178</v>
      </c>
      <c r="B12" s="100" t="s">
        <v>183</v>
      </c>
      <c r="C12" s="102" t="s">
        <v>184</v>
      </c>
      <c r="D12" s="103" t="s">
        <v>53</v>
      </c>
      <c r="E12" s="103" t="s">
        <v>53</v>
      </c>
      <c r="F12" s="104" t="n">
        <v>311828420</v>
      </c>
      <c r="G12" s="105" t="n">
        <v>0.221</v>
      </c>
      <c r="H12" s="93" t="s">
        <v>185</v>
      </c>
    </row>
    <row r="13" customFormat="false" ht="15" hidden="false" customHeight="true" outlineLevel="0" collapsed="false">
      <c r="A13" s="100" t="s">
        <v>178</v>
      </c>
      <c r="B13" s="100" t="s">
        <v>186</v>
      </c>
      <c r="C13" s="102" t="s">
        <v>184</v>
      </c>
      <c r="D13" s="103" t="s">
        <v>53</v>
      </c>
      <c r="E13" s="103" t="s">
        <v>53</v>
      </c>
      <c r="F13" s="104" t="n">
        <v>311828420</v>
      </c>
      <c r="G13" s="105" t="n">
        <v>0.221</v>
      </c>
      <c r="H13" s="93" t="s">
        <v>185</v>
      </c>
    </row>
    <row r="14" customFormat="false" ht="15" hidden="false" customHeight="true" outlineLevel="0" collapsed="false">
      <c r="A14" s="100" t="s">
        <v>178</v>
      </c>
      <c r="B14" s="101" t="s">
        <v>187</v>
      </c>
      <c r="C14" s="102" t="s">
        <v>180</v>
      </c>
      <c r="D14" s="104" t="n">
        <v>150460810</v>
      </c>
      <c r="E14" s="106" t="n">
        <v>4.5</v>
      </c>
      <c r="F14" s="104" t="n">
        <v>159460810</v>
      </c>
      <c r="G14" s="105" t="n">
        <v>0.113</v>
      </c>
      <c r="H14" s="93" t="s">
        <v>188</v>
      </c>
    </row>
    <row r="15" customFormat="false" ht="15" hidden="false" customHeight="true" outlineLevel="0" collapsed="false">
      <c r="A15" s="107" t="s">
        <v>178</v>
      </c>
      <c r="B15" s="107" t="s">
        <v>189</v>
      </c>
      <c r="C15" s="19" t="s">
        <v>190</v>
      </c>
      <c r="D15" s="108" t="n">
        <v>150460810</v>
      </c>
      <c r="E15" s="109" t="n">
        <v>4.5</v>
      </c>
      <c r="F15" s="108" t="n">
        <v>150460810</v>
      </c>
      <c r="G15" s="110" t="n">
        <v>0.1066</v>
      </c>
      <c r="H15" s="93" t="s">
        <v>191</v>
      </c>
    </row>
    <row r="16" customFormat="false" ht="15" hidden="false" customHeight="true" outlineLevel="0" collapsed="false">
      <c r="A16" s="88" t="s">
        <v>178</v>
      </c>
      <c r="B16" s="88" t="s">
        <v>166</v>
      </c>
      <c r="C16" s="89" t="s">
        <v>167</v>
      </c>
      <c r="D16" s="90" t="n">
        <v>43321198</v>
      </c>
      <c r="E16" s="91" t="n">
        <v>4.5</v>
      </c>
      <c r="F16" s="90" t="n">
        <v>130795031</v>
      </c>
      <c r="G16" s="92" t="n">
        <v>0.0927</v>
      </c>
      <c r="H16" s="93" t="s">
        <v>192</v>
      </c>
    </row>
    <row r="17" customFormat="false" ht="15" hidden="false" customHeight="true" outlineLevel="0" collapsed="false">
      <c r="A17" s="88" t="s">
        <v>178</v>
      </c>
      <c r="B17" s="88" t="s">
        <v>169</v>
      </c>
      <c r="C17" s="89" t="s">
        <v>170</v>
      </c>
      <c r="D17" s="90" t="n">
        <v>76980403</v>
      </c>
      <c r="E17" s="89" t="s">
        <v>53</v>
      </c>
      <c r="F17" s="90" t="n">
        <v>76980403</v>
      </c>
      <c r="G17" s="92" t="n">
        <v>0.0546</v>
      </c>
      <c r="H17" s="93" t="s">
        <v>192</v>
      </c>
    </row>
    <row r="18" customFormat="false" ht="15" hidden="false" customHeight="true" outlineLevel="0" collapsed="false">
      <c r="A18" s="88" t="s">
        <v>193</v>
      </c>
      <c r="B18" s="88" t="s">
        <v>169</v>
      </c>
      <c r="C18" s="89" t="s">
        <v>170</v>
      </c>
      <c r="D18" s="90" t="n">
        <v>2344000</v>
      </c>
      <c r="E18" s="91" t="n">
        <v>3.4039</v>
      </c>
      <c r="F18" s="90" t="n">
        <v>84884403</v>
      </c>
      <c r="G18" s="92" t="n">
        <v>0.0602</v>
      </c>
      <c r="H18" s="93" t="s">
        <v>194</v>
      </c>
    </row>
    <row r="19" customFormat="false" ht="15" hidden="false" customHeight="true" outlineLevel="0" collapsed="false">
      <c r="A19" s="88" t="s">
        <v>195</v>
      </c>
      <c r="B19" s="88" t="s">
        <v>166</v>
      </c>
      <c r="C19" s="89" t="s">
        <v>167</v>
      </c>
      <c r="D19" s="90" t="n">
        <v>2354000</v>
      </c>
      <c r="E19" s="91" t="n">
        <v>3.3881</v>
      </c>
      <c r="F19" s="90" t="n">
        <v>143379031</v>
      </c>
      <c r="G19" s="92" t="n">
        <v>0.1016</v>
      </c>
      <c r="H19" s="93" t="s">
        <v>194</v>
      </c>
    </row>
    <row r="20" customFormat="false" ht="15" hidden="false" customHeight="true" outlineLevel="0" collapsed="false">
      <c r="A20" s="88" t="s">
        <v>196</v>
      </c>
      <c r="B20" s="88" t="s">
        <v>169</v>
      </c>
      <c r="C20" s="89" t="s">
        <v>170</v>
      </c>
      <c r="D20" s="90" t="n">
        <v>2236000</v>
      </c>
      <c r="E20" s="91" t="n">
        <v>3.5661</v>
      </c>
      <c r="F20" s="90" t="n">
        <v>100888403</v>
      </c>
      <c r="G20" s="92" t="n">
        <v>0.0715</v>
      </c>
      <c r="H20" s="93" t="s">
        <v>176</v>
      </c>
    </row>
    <row r="21" customFormat="false" ht="15" hidden="false" customHeight="true" outlineLevel="0" collapsed="false">
      <c r="A21" s="88" t="s">
        <v>197</v>
      </c>
      <c r="B21" s="88" t="s">
        <v>166</v>
      </c>
      <c r="C21" s="89" t="s">
        <v>167</v>
      </c>
      <c r="D21" s="90" t="n">
        <v>2144000</v>
      </c>
      <c r="E21" s="91" t="n">
        <v>3.7253</v>
      </c>
      <c r="F21" s="90" t="n">
        <v>156847031</v>
      </c>
      <c r="G21" s="92" t="n">
        <v>0.1112</v>
      </c>
      <c r="H21" s="93" t="s">
        <v>176</v>
      </c>
    </row>
    <row r="22" customFormat="false" ht="15" hidden="false" customHeight="true" outlineLevel="0" collapsed="false">
      <c r="A22" s="88" t="s">
        <v>198</v>
      </c>
      <c r="B22" s="88" t="s">
        <v>169</v>
      </c>
      <c r="C22" s="89" t="s">
        <v>170</v>
      </c>
      <c r="D22" s="90" t="n">
        <v>1916000</v>
      </c>
      <c r="E22" s="91" t="n">
        <v>4.82</v>
      </c>
      <c r="F22" s="90" t="n">
        <v>114288403</v>
      </c>
      <c r="G22" s="92" t="n">
        <v>0.081</v>
      </c>
      <c r="H22" s="93" t="s">
        <v>199</v>
      </c>
    </row>
    <row r="23" customFormat="false" ht="15" hidden="false" customHeight="true" outlineLevel="0" collapsed="false">
      <c r="A23" s="88" t="s">
        <v>200</v>
      </c>
      <c r="B23" s="88" t="s">
        <v>166</v>
      </c>
      <c r="C23" s="89" t="s">
        <v>167</v>
      </c>
      <c r="D23" s="90" t="n">
        <v>1834000</v>
      </c>
      <c r="E23" s="91" t="n">
        <v>5.32</v>
      </c>
      <c r="F23" s="90" t="n">
        <v>169937031</v>
      </c>
      <c r="G23" s="92" t="n">
        <v>0.1204</v>
      </c>
      <c r="H23" s="93" t="s">
        <v>199</v>
      </c>
    </row>
    <row r="24" customFormat="false" ht="24" hidden="false" customHeight="true" outlineLevel="0" collapsed="false">
      <c r="A24" s="107" t="s">
        <v>201</v>
      </c>
      <c r="B24" s="107" t="s">
        <v>202</v>
      </c>
      <c r="C24" s="19" t="s">
        <v>190</v>
      </c>
      <c r="D24" s="111" t="s">
        <v>53</v>
      </c>
      <c r="E24" s="111" t="s">
        <v>53</v>
      </c>
      <c r="F24" s="108" t="n">
        <v>150460810</v>
      </c>
      <c r="G24" s="110" t="n">
        <v>0.1065</v>
      </c>
      <c r="H24" s="93" t="s">
        <v>203</v>
      </c>
    </row>
    <row r="25" customFormat="false" ht="15" hidden="false" customHeight="true" outlineLevel="0" collapsed="false">
      <c r="A25" s="88" t="s">
        <v>204</v>
      </c>
      <c r="B25" s="88" t="s">
        <v>166</v>
      </c>
      <c r="C25" s="89" t="s">
        <v>167</v>
      </c>
      <c r="D25" s="90" t="n">
        <v>6897277</v>
      </c>
      <c r="E25" s="89" t="s">
        <v>53</v>
      </c>
      <c r="F25" s="90" t="n">
        <v>167495754</v>
      </c>
      <c r="G25" s="92" t="n">
        <v>0.1185</v>
      </c>
      <c r="H25" s="112" t="s">
        <v>205</v>
      </c>
    </row>
    <row r="26" customFormat="false" ht="15" hidden="false" customHeight="true" outlineLevel="0" collapsed="false">
      <c r="A26" s="88" t="s">
        <v>206</v>
      </c>
      <c r="B26" s="88" t="s">
        <v>166</v>
      </c>
      <c r="C26" s="89" t="s">
        <v>167</v>
      </c>
      <c r="D26" s="90" t="n">
        <v>14498167</v>
      </c>
      <c r="E26" s="89" t="s">
        <v>53</v>
      </c>
      <c r="F26" s="90" t="n">
        <v>152997587</v>
      </c>
      <c r="G26" s="92" t="n">
        <v>0.1083</v>
      </c>
      <c r="H26" s="112" t="s">
        <v>207</v>
      </c>
    </row>
    <row r="27" customFormat="false" ht="15" hidden="false" customHeight="true" outlineLevel="0" collapsed="false">
      <c r="A27" s="88" t="s">
        <v>208</v>
      </c>
      <c r="B27" s="88" t="s">
        <v>166</v>
      </c>
      <c r="C27" s="89" t="s">
        <v>167</v>
      </c>
      <c r="D27" s="90" t="n">
        <v>528000</v>
      </c>
      <c r="E27" s="91" t="n">
        <v>9.38</v>
      </c>
      <c r="F27" s="90" t="n">
        <v>155497702</v>
      </c>
      <c r="G27" s="92" t="n">
        <v>0.1101</v>
      </c>
      <c r="H27" s="93" t="s">
        <v>209</v>
      </c>
    </row>
    <row r="28" customFormat="false" ht="26.25" hidden="false" customHeight="true" outlineLevel="0" collapsed="false">
      <c r="A28" s="100" t="s">
        <v>210</v>
      </c>
      <c r="B28" s="101" t="s">
        <v>182</v>
      </c>
      <c r="C28" s="102" t="s">
        <v>180</v>
      </c>
      <c r="D28" s="103" t="s">
        <v>53</v>
      </c>
      <c r="E28" s="103" t="s">
        <v>53</v>
      </c>
      <c r="F28" s="104" t="n">
        <v>341828420</v>
      </c>
      <c r="G28" s="105" t="n">
        <v>0.2436</v>
      </c>
      <c r="H28" s="93" t="s">
        <v>211</v>
      </c>
    </row>
    <row r="29" customFormat="false" ht="15" hidden="false" customHeight="true" outlineLevel="0" collapsed="false">
      <c r="A29" s="100" t="s">
        <v>210</v>
      </c>
      <c r="B29" s="101" t="s">
        <v>179</v>
      </c>
      <c r="C29" s="102" t="s">
        <v>180</v>
      </c>
      <c r="D29" s="103" t="s">
        <v>53</v>
      </c>
      <c r="E29" s="103" t="s">
        <v>53</v>
      </c>
      <c r="F29" s="104" t="n">
        <v>341828420</v>
      </c>
      <c r="G29" s="105" t="n">
        <v>0.2436</v>
      </c>
      <c r="H29" s="93" t="s">
        <v>212</v>
      </c>
    </row>
    <row r="30" customFormat="false" ht="15" hidden="false" customHeight="true" outlineLevel="0" collapsed="false">
      <c r="A30" s="100" t="s">
        <v>210</v>
      </c>
      <c r="B30" s="101" t="s">
        <v>187</v>
      </c>
      <c r="C30" s="102" t="s">
        <v>180</v>
      </c>
      <c r="D30" s="103" t="s">
        <v>53</v>
      </c>
      <c r="E30" s="103" t="s">
        <v>53</v>
      </c>
      <c r="F30" s="104" t="n">
        <v>159460810</v>
      </c>
      <c r="G30" s="105" t="n">
        <v>0.1137</v>
      </c>
      <c r="H30" s="93" t="s">
        <v>212</v>
      </c>
    </row>
    <row r="31" customFormat="false" ht="15" hidden="false" customHeight="true" outlineLevel="0" collapsed="false">
      <c r="A31" s="107" t="s">
        <v>210</v>
      </c>
      <c r="B31" s="113" t="s">
        <v>213</v>
      </c>
      <c r="C31" s="19" t="s">
        <v>214</v>
      </c>
      <c r="D31" s="111" t="s">
        <v>53</v>
      </c>
      <c r="E31" s="111" t="s">
        <v>53</v>
      </c>
      <c r="F31" s="108" t="n">
        <v>6000000</v>
      </c>
      <c r="G31" s="110" t="n">
        <v>0.0043</v>
      </c>
      <c r="H31" s="93" t="s">
        <v>215</v>
      </c>
    </row>
    <row r="32" customFormat="false" ht="15" hidden="false" customHeight="true" outlineLevel="0" collapsed="false">
      <c r="A32" s="88" t="s">
        <v>216</v>
      </c>
      <c r="B32" s="88" t="s">
        <v>166</v>
      </c>
      <c r="C32" s="89" t="s">
        <v>167</v>
      </c>
      <c r="D32" s="90" t="n">
        <v>18717049</v>
      </c>
      <c r="E32" s="89" t="s">
        <v>53</v>
      </c>
      <c r="F32" s="90" t="n">
        <v>140948269</v>
      </c>
      <c r="G32" s="92" t="n">
        <v>0.1005</v>
      </c>
      <c r="H32" s="112" t="s">
        <v>217</v>
      </c>
    </row>
    <row r="33" customFormat="false" ht="15" hidden="false" customHeight="true" outlineLevel="0" collapsed="false">
      <c r="A33" s="88" t="s">
        <v>216</v>
      </c>
      <c r="B33" s="88" t="s">
        <v>169</v>
      </c>
      <c r="C33" s="89" t="s">
        <v>170</v>
      </c>
      <c r="D33" s="90" t="n">
        <v>11677825</v>
      </c>
      <c r="E33" s="89" t="s">
        <v>53</v>
      </c>
      <c r="F33" s="90" t="n">
        <v>111067301</v>
      </c>
      <c r="G33" s="92" t="n">
        <v>0.0792</v>
      </c>
      <c r="H33" s="112" t="s">
        <v>217</v>
      </c>
    </row>
    <row r="34" customFormat="false" ht="15" hidden="false" customHeight="true" outlineLevel="0" collapsed="false">
      <c r="A34" s="107" t="s">
        <v>218</v>
      </c>
      <c r="B34" s="107" t="s">
        <v>202</v>
      </c>
      <c r="C34" s="19" t="s">
        <v>219</v>
      </c>
      <c r="D34" s="108" t="n">
        <v>12000000</v>
      </c>
      <c r="E34" s="111" t="s">
        <v>53</v>
      </c>
      <c r="F34" s="108" t="n">
        <v>150460810</v>
      </c>
      <c r="G34" s="110" t="n">
        <v>0.1072</v>
      </c>
      <c r="H34" s="93" t="s">
        <v>220</v>
      </c>
    </row>
    <row r="36" customFormat="false" ht="15" hidden="false" customHeight="true" outlineLevel="0" collapsed="false">
      <c r="A36" s="12" t="s">
        <v>221</v>
      </c>
      <c r="B36" s="13"/>
      <c r="C36" s="13"/>
      <c r="D36" s="13"/>
      <c r="E36" s="13"/>
      <c r="F36" s="13"/>
      <c r="G36" s="13"/>
      <c r="H36" s="13"/>
    </row>
    <row r="37" customFormat="false" ht="30" hidden="false" customHeight="true" outlineLevel="0" collapsed="false">
      <c r="A37" s="66" t="s">
        <v>222</v>
      </c>
      <c r="B37" s="66"/>
      <c r="C37" s="66"/>
      <c r="D37" s="66"/>
      <c r="E37" s="66"/>
      <c r="F37" s="66"/>
      <c r="G37" s="66"/>
      <c r="H37" s="66"/>
    </row>
    <row r="38" customFormat="false" ht="30" hidden="false" customHeight="true" outlineLevel="0" collapsed="false">
      <c r="A38" s="66" t="s">
        <v>223</v>
      </c>
      <c r="B38" s="66"/>
      <c r="C38" s="66"/>
      <c r="D38" s="66"/>
      <c r="E38" s="66"/>
      <c r="F38" s="66"/>
      <c r="G38" s="66"/>
      <c r="H38" s="66"/>
    </row>
    <row r="39" customFormat="false" ht="30" hidden="false" customHeight="true" outlineLevel="0" collapsed="false">
      <c r="A39" s="71" t="s">
        <v>224</v>
      </c>
      <c r="B39" s="71"/>
      <c r="C39" s="71"/>
      <c r="D39" s="71"/>
      <c r="E39" s="71"/>
      <c r="F39" s="71"/>
      <c r="G39" s="71"/>
      <c r="H39" s="71"/>
    </row>
    <row r="40" customFormat="false" ht="30" hidden="false" customHeight="true" outlineLevel="0" collapsed="false">
      <c r="A40" s="66" t="s">
        <v>225</v>
      </c>
      <c r="B40" s="66"/>
      <c r="C40" s="66"/>
      <c r="D40" s="66"/>
      <c r="E40" s="66"/>
      <c r="F40" s="66"/>
      <c r="G40" s="66"/>
      <c r="H40" s="66"/>
    </row>
    <row r="41" customFormat="false" ht="30" hidden="false" customHeight="true" outlineLevel="0" collapsed="false">
      <c r="A41" s="71" t="s">
        <v>226</v>
      </c>
      <c r="B41" s="71"/>
      <c r="C41" s="71"/>
      <c r="D41" s="71"/>
      <c r="E41" s="71"/>
      <c r="F41" s="71"/>
      <c r="G41" s="71"/>
      <c r="H41" s="71"/>
    </row>
    <row r="42" customFormat="false" ht="30" hidden="false" customHeight="true" outlineLevel="0" collapsed="false">
      <c r="A42" s="66" t="s">
        <v>227</v>
      </c>
      <c r="B42" s="66"/>
      <c r="C42" s="66"/>
      <c r="D42" s="66"/>
      <c r="E42" s="66"/>
      <c r="F42" s="66"/>
      <c r="G42" s="66"/>
      <c r="H42" s="66"/>
    </row>
    <row r="43" customFormat="false" ht="15" hidden="false" customHeight="true" outlineLevel="0" collapsed="false">
      <c r="A43" s="20" t="s">
        <v>228</v>
      </c>
    </row>
  </sheetData>
  <mergeCells count="8">
    <mergeCell ref="A1:H1"/>
    <mergeCell ref="A2:H2"/>
    <mergeCell ref="A37:H37"/>
    <mergeCell ref="A38:H38"/>
    <mergeCell ref="A39:H39"/>
    <mergeCell ref="A40:H40"/>
    <mergeCell ref="A41:H41"/>
    <mergeCell ref="A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"/>
    <col collapsed="false" customWidth="true" hidden="false" outlineLevel="0" max="8" min="3" style="1" width="13"/>
    <col collapsed="false" customWidth="true" hidden="false" outlineLevel="0" max="9" min="9" style="1" width="11"/>
  </cols>
  <sheetData>
    <row r="1" customFormat="false" ht="19.5" hidden="false" customHeight="true" outlineLevel="0" collapsed="false">
      <c r="A1" s="24" t="s">
        <v>229</v>
      </c>
      <c r="B1" s="24"/>
      <c r="C1" s="24"/>
      <c r="D1" s="24"/>
      <c r="E1" s="24"/>
      <c r="F1" s="24"/>
      <c r="G1" s="24"/>
      <c r="H1" s="24"/>
      <c r="I1" s="24"/>
    </row>
    <row r="2" customFormat="false" ht="13.5" hidden="false" customHeight="true" outlineLevel="0" collapsed="false">
      <c r="A2" s="3" t="s">
        <v>230</v>
      </c>
      <c r="B2" s="3"/>
      <c r="C2" s="3"/>
      <c r="D2" s="3"/>
      <c r="E2" s="3"/>
      <c r="F2" s="3"/>
      <c r="G2" s="3"/>
      <c r="H2" s="3"/>
      <c r="I2" s="3"/>
    </row>
    <row r="4" customFormat="false" ht="16.5" hidden="false" customHeight="true" outlineLevel="0" collapsed="false">
      <c r="A4" s="55" t="s">
        <v>231</v>
      </c>
      <c r="B4" s="114" t="s">
        <v>232</v>
      </c>
      <c r="C4" s="115" t="s">
        <v>233</v>
      </c>
      <c r="D4" s="115" t="s">
        <v>234</v>
      </c>
      <c r="E4" s="115" t="s">
        <v>235</v>
      </c>
      <c r="F4" s="114" t="s">
        <v>236</v>
      </c>
      <c r="G4" s="115" t="s">
        <v>237</v>
      </c>
      <c r="H4" s="114" t="s">
        <v>164</v>
      </c>
    </row>
    <row r="5" customFormat="false" ht="39" hidden="false" customHeight="true" outlineLevel="0" collapsed="false">
      <c r="A5" s="16" t="s">
        <v>238</v>
      </c>
      <c r="B5" s="116" t="s">
        <v>239</v>
      </c>
      <c r="C5" s="67" t="n">
        <v>208136723</v>
      </c>
      <c r="D5" s="67" t="n">
        <v>376955336</v>
      </c>
      <c r="E5" s="67" t="n">
        <v>295507090</v>
      </c>
      <c r="F5" s="110" t="n">
        <f aca="false">E5/1401000000</f>
        <v>0.210925831548894</v>
      </c>
      <c r="G5" s="117" t="n">
        <f aca="false">E5-C5</f>
        <v>87370367</v>
      </c>
      <c r="H5" s="93" t="s">
        <v>240</v>
      </c>
    </row>
    <row r="6" customFormat="false" ht="39" hidden="false" customHeight="true" outlineLevel="0" collapsed="false">
      <c r="A6" s="16" t="s">
        <v>241</v>
      </c>
      <c r="B6" s="116" t="s">
        <v>242</v>
      </c>
      <c r="C6" s="67" t="n">
        <v>200511505</v>
      </c>
      <c r="D6" s="67" t="n">
        <v>204759852</v>
      </c>
      <c r="E6" s="67" t="n">
        <v>198675496</v>
      </c>
      <c r="F6" s="110" t="n">
        <f aca="false">E6/1401000000</f>
        <v>0.141809775874375</v>
      </c>
      <c r="G6" s="118" t="n">
        <f aca="false">E6-C6</f>
        <v>-1836009</v>
      </c>
      <c r="H6" s="93" t="s">
        <v>243</v>
      </c>
    </row>
    <row r="7" customFormat="false" ht="26.25" hidden="false" customHeight="true" outlineLevel="0" collapsed="false">
      <c r="A7" s="16" t="s">
        <v>244</v>
      </c>
      <c r="B7" s="116" t="s">
        <v>245</v>
      </c>
      <c r="C7" s="67" t="n">
        <v>162102879</v>
      </c>
      <c r="D7" s="67" t="n">
        <v>163596325</v>
      </c>
      <c r="E7" s="67" t="n">
        <v>156684015</v>
      </c>
      <c r="F7" s="110" t="n">
        <f aca="false">E7/1401000000</f>
        <v>0.111837269807281</v>
      </c>
      <c r="G7" s="118" t="n">
        <f aca="false">E7-C7</f>
        <v>-5418864</v>
      </c>
      <c r="H7" s="93" t="s">
        <v>246</v>
      </c>
    </row>
    <row r="8" customFormat="false" ht="26.25" hidden="false" customHeight="true" outlineLevel="0" collapsed="false">
      <c r="A8" s="16" t="s">
        <v>247</v>
      </c>
      <c r="B8" s="116" t="s">
        <v>248</v>
      </c>
      <c r="C8" s="67" t="n">
        <v>162206596</v>
      </c>
      <c r="D8" s="67" t="n">
        <v>159206420</v>
      </c>
      <c r="E8" s="67" t="n">
        <v>152102420</v>
      </c>
      <c r="F8" s="110" t="n">
        <f aca="false">E8/1401000000</f>
        <v>0.108567037830121</v>
      </c>
      <c r="G8" s="118" t="n">
        <f aca="false">E8-C8</f>
        <v>-10104176</v>
      </c>
      <c r="H8" s="93" t="s">
        <v>249</v>
      </c>
    </row>
    <row r="9" customFormat="false" ht="39" hidden="false" customHeight="true" outlineLevel="0" collapsed="false">
      <c r="A9" s="16" t="s">
        <v>250</v>
      </c>
      <c r="B9" s="116" t="s">
        <v>239</v>
      </c>
      <c r="C9" s="67" t="n">
        <v>138527303</v>
      </c>
      <c r="D9" s="67" t="n">
        <v>141156585</v>
      </c>
      <c r="E9" s="67" t="n">
        <v>91950242</v>
      </c>
      <c r="F9" s="110" t="n">
        <f aca="false">E9/1401000000</f>
        <v>0.0656318643825839</v>
      </c>
      <c r="G9" s="118" t="n">
        <f aca="false">E9-C9</f>
        <v>-46577061</v>
      </c>
      <c r="H9" s="93" t="s">
        <v>251</v>
      </c>
    </row>
    <row r="10" customFormat="false" ht="26.25" hidden="false" customHeight="true" outlineLevel="0" collapsed="false">
      <c r="A10" s="16" t="s">
        <v>252</v>
      </c>
      <c r="B10" s="116" t="s">
        <v>245</v>
      </c>
      <c r="C10" s="67" t="n">
        <v>110097260</v>
      </c>
      <c r="D10" s="67" t="n">
        <v>108950592</v>
      </c>
      <c r="E10" s="67" t="n">
        <v>101521300</v>
      </c>
      <c r="F10" s="110" t="n">
        <f aca="false">E10/1401000000</f>
        <v>0.072463454675232</v>
      </c>
      <c r="G10" s="118" t="n">
        <f aca="false">E10-C10</f>
        <v>-8575960</v>
      </c>
      <c r="H10" s="93" t="s">
        <v>253</v>
      </c>
    </row>
    <row r="11" customFormat="false" ht="15" hidden="false" customHeight="true" outlineLevel="0" collapsed="false">
      <c r="A11" s="16" t="s">
        <v>254</v>
      </c>
      <c r="B11" s="116" t="s">
        <v>255</v>
      </c>
      <c r="C11" s="67" t="n">
        <v>48435198</v>
      </c>
      <c r="D11" s="67" t="n">
        <v>41199032</v>
      </c>
      <c r="E11" s="67" t="n">
        <v>44831454</v>
      </c>
      <c r="F11" s="110" t="n">
        <f aca="false">E11/1401000000</f>
        <v>0.0319996102783726</v>
      </c>
      <c r="G11" s="118" t="n">
        <f aca="false">E11-C11</f>
        <v>-3603744</v>
      </c>
      <c r="H11" s="93" t="s">
        <v>256</v>
      </c>
    </row>
    <row r="12" customFormat="false" ht="15" hidden="false" customHeight="true" outlineLevel="0" collapsed="false">
      <c r="A12" s="16" t="s">
        <v>257</v>
      </c>
      <c r="B12" s="116" t="s">
        <v>239</v>
      </c>
      <c r="C12" s="67" t="n">
        <v>39160140</v>
      </c>
      <c r="D12" s="67" t="n">
        <v>36478140</v>
      </c>
      <c r="E12" s="67" t="n">
        <v>34126140</v>
      </c>
      <c r="F12" s="110" t="n">
        <f aca="false">E12/1401000000</f>
        <v>0.0243584154175589</v>
      </c>
      <c r="G12" s="118" t="n">
        <f aca="false">E12-C12</f>
        <v>-5034000</v>
      </c>
      <c r="H12" s="93" t="s">
        <v>258</v>
      </c>
    </row>
    <row r="13" customFormat="false" ht="39" hidden="false" customHeight="true" outlineLevel="0" collapsed="false">
      <c r="A13" s="65" t="s">
        <v>259</v>
      </c>
      <c r="B13" s="116" t="s">
        <v>245</v>
      </c>
      <c r="C13" s="67" t="n">
        <v>18506098</v>
      </c>
      <c r="D13" s="67" t="n">
        <v>11974886</v>
      </c>
      <c r="E13" s="67" t="n">
        <v>5477776</v>
      </c>
      <c r="F13" s="110" t="n">
        <f aca="false">E13/1401000000</f>
        <v>0.00390990435403283</v>
      </c>
      <c r="G13" s="118" t="n">
        <f aca="false">E13-C13</f>
        <v>-13028322</v>
      </c>
      <c r="H13" s="93" t="s">
        <v>260</v>
      </c>
    </row>
    <row r="14" customFormat="false" ht="15" hidden="false" customHeight="true" outlineLevel="0" collapsed="false">
      <c r="A14" s="16" t="s">
        <v>261</v>
      </c>
      <c r="B14" s="116" t="s">
        <v>245</v>
      </c>
      <c r="C14" s="67" t="n">
        <v>15096459</v>
      </c>
      <c r="D14" s="67" t="n">
        <v>9175194</v>
      </c>
      <c r="E14" s="67" t="n">
        <v>7857704</v>
      </c>
      <c r="F14" s="110" t="n">
        <f aca="false">E14/1401000000</f>
        <v>0.00560863954318344</v>
      </c>
      <c r="G14" s="118" t="n">
        <f aca="false">E14-C14</f>
        <v>-7238755</v>
      </c>
      <c r="H14" s="93" t="s">
        <v>262</v>
      </c>
    </row>
    <row r="15" customFormat="false" ht="15" hidden="false" customHeight="true" outlineLevel="0" collapsed="false">
      <c r="A15" s="16" t="s">
        <v>263</v>
      </c>
      <c r="B15" s="116" t="s">
        <v>242</v>
      </c>
      <c r="C15" s="67" t="n">
        <v>8001000</v>
      </c>
      <c r="D15" s="67" t="n">
        <v>10889000</v>
      </c>
      <c r="E15" s="67" t="n">
        <v>5589451</v>
      </c>
      <c r="F15" s="110" t="n">
        <f aca="false">E15/1401000000</f>
        <v>0.00398961527480371</v>
      </c>
      <c r="G15" s="118" t="n">
        <f aca="false">E15-C15</f>
        <v>-2411549</v>
      </c>
      <c r="H15" s="93" t="s">
        <v>264</v>
      </c>
    </row>
    <row r="16" customFormat="false" ht="72" hidden="false" customHeight="true" outlineLevel="0" collapsed="false">
      <c r="A16" s="119" t="s">
        <v>265</v>
      </c>
      <c r="B16" s="120" t="s">
        <v>266</v>
      </c>
      <c r="C16" s="121" t="n">
        <v>0</v>
      </c>
      <c r="D16" s="121" t="n">
        <v>0</v>
      </c>
      <c r="E16" s="121" t="n">
        <v>154450355</v>
      </c>
      <c r="F16" s="122" t="n">
        <f aca="false">E16/1401000000</f>
        <v>0.110242937187723</v>
      </c>
      <c r="G16" s="123" t="n">
        <f aca="false">E16-C16</f>
        <v>154450355</v>
      </c>
      <c r="H16" s="124" t="s">
        <v>267</v>
      </c>
    </row>
    <row r="17" customFormat="false" ht="15" hidden="false" customHeight="true" outlineLevel="0" collapsed="false">
      <c r="A17" s="125" t="s">
        <v>268</v>
      </c>
      <c r="C17" s="126" t="n">
        <v>1412800000</v>
      </c>
      <c r="D17" s="126" t="n">
        <v>1413400000</v>
      </c>
      <c r="E17" s="126" t="n">
        <v>1401000000</v>
      </c>
      <c r="F17" s="127" t="s">
        <v>269</v>
      </c>
      <c r="G17" s="127"/>
      <c r="H17" s="127"/>
    </row>
    <row r="19" customFormat="false" ht="16.5" hidden="false" customHeight="true" outlineLevel="0" collapsed="false">
      <c r="A19" s="12" t="s">
        <v>270</v>
      </c>
      <c r="B19" s="13"/>
      <c r="C19" s="13"/>
      <c r="D19" s="13"/>
      <c r="E19" s="13"/>
      <c r="F19" s="13"/>
      <c r="G19" s="13"/>
      <c r="H19" s="13"/>
      <c r="I19" s="13"/>
    </row>
    <row r="20" customFormat="false" ht="43.5" hidden="false" customHeight="true" outlineLevel="0" collapsed="false">
      <c r="A20" s="66" t="s">
        <v>271</v>
      </c>
      <c r="B20" s="66"/>
      <c r="C20" s="66"/>
      <c r="D20" s="66"/>
      <c r="E20" s="66"/>
      <c r="F20" s="66"/>
      <c r="G20" s="66"/>
      <c r="H20" s="66"/>
      <c r="I20" s="66"/>
    </row>
    <row r="21" customFormat="false" ht="43.5" hidden="false" customHeight="true" outlineLevel="0" collapsed="false">
      <c r="A21" s="66" t="s">
        <v>272</v>
      </c>
      <c r="B21" s="66"/>
      <c r="C21" s="66"/>
      <c r="D21" s="66"/>
      <c r="E21" s="66"/>
      <c r="F21" s="66"/>
      <c r="G21" s="66"/>
      <c r="H21" s="66"/>
      <c r="I21" s="66"/>
    </row>
    <row r="22" customFormat="false" ht="43.5" hidden="false" customHeight="true" outlineLevel="0" collapsed="false">
      <c r="A22" s="66" t="s">
        <v>273</v>
      </c>
      <c r="B22" s="66"/>
      <c r="C22" s="66"/>
      <c r="D22" s="66"/>
      <c r="E22" s="66"/>
      <c r="F22" s="66"/>
      <c r="G22" s="66"/>
      <c r="H22" s="66"/>
      <c r="I22" s="66"/>
    </row>
    <row r="23" customFormat="false" ht="43.5" hidden="false" customHeight="true" outlineLevel="0" collapsed="false">
      <c r="A23" s="66" t="s">
        <v>274</v>
      </c>
      <c r="B23" s="66"/>
      <c r="C23" s="66"/>
      <c r="D23" s="66"/>
      <c r="E23" s="66"/>
      <c r="F23" s="66"/>
      <c r="G23" s="66"/>
      <c r="H23" s="66"/>
      <c r="I23" s="66"/>
    </row>
  </sheetData>
  <mergeCells count="7">
    <mergeCell ref="A1:I1"/>
    <mergeCell ref="A2:I2"/>
    <mergeCell ref="F17:H17"/>
    <mergeCell ref="A20:I20"/>
    <mergeCell ref="A21:I21"/>
    <mergeCell ref="A22:I22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03864"/>
    <pageSetUpPr fitToPage="false"/>
  </sheetPr>
  <dimension ref="A1:N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12" min="3" style="0" width="10.51"/>
    <col collapsed="false" customWidth="true" hidden="false" outlineLevel="0" max="13" min="13" style="0" width="11"/>
    <col collapsed="false" customWidth="true" hidden="false" outlineLevel="0" max="14" min="14" style="0" width="13"/>
  </cols>
  <sheetData>
    <row r="1" customFormat="false" ht="20.1" hidden="false" customHeight="false" outlineLevel="0" collapsed="false">
      <c r="A1" s="128" t="s">
        <v>275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</row>
    <row r="2" customFormat="false" ht="14.15" hidden="false" customHeight="false" outlineLevel="0" collapsed="false">
      <c r="A2" s="129" t="s">
        <v>276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</row>
    <row r="4" customFormat="false" ht="17.15" hidden="false" customHeight="false" outlineLevel="0" collapsed="false">
      <c r="A4" s="130" t="s">
        <v>231</v>
      </c>
      <c r="B4" s="130" t="s">
        <v>232</v>
      </c>
      <c r="C4" s="115" t="s">
        <v>277</v>
      </c>
      <c r="D4" s="115" t="s">
        <v>278</v>
      </c>
      <c r="E4" s="115" t="s">
        <v>279</v>
      </c>
      <c r="F4" s="115" t="s">
        <v>280</v>
      </c>
      <c r="G4" s="115" t="s">
        <v>281</v>
      </c>
      <c r="H4" s="115" t="s">
        <v>282</v>
      </c>
      <c r="I4" s="115" t="s">
        <v>283</v>
      </c>
      <c r="J4" s="115" t="s">
        <v>284</v>
      </c>
      <c r="K4" s="115" t="s">
        <v>285</v>
      </c>
      <c r="L4" s="115" t="s">
        <v>286</v>
      </c>
      <c r="M4" s="130" t="s">
        <v>287</v>
      </c>
      <c r="N4" s="130" t="s">
        <v>288</v>
      </c>
    </row>
    <row r="5" customFormat="false" ht="15" hidden="false" customHeight="false" outlineLevel="0" collapsed="false">
      <c r="A5" s="131" t="s">
        <v>289</v>
      </c>
      <c r="B5" s="132" t="s">
        <v>239</v>
      </c>
      <c r="C5" s="133" t="n">
        <v>286782680</v>
      </c>
      <c r="D5" s="133" t="n">
        <v>288854992</v>
      </c>
      <c r="E5" s="133" t="n">
        <v>295507090</v>
      </c>
      <c r="F5" s="133" t="n">
        <v>295507090</v>
      </c>
      <c r="G5" s="133" t="n">
        <v>293124713</v>
      </c>
      <c r="H5" s="133" t="n">
        <v>303980132</v>
      </c>
      <c r="I5" s="133" t="n">
        <v>301111043</v>
      </c>
      <c r="J5" s="133" t="n">
        <v>303954829</v>
      </c>
      <c r="K5" s="133" t="n">
        <v>303937260</v>
      </c>
      <c r="L5" s="133" t="n">
        <v>301296054</v>
      </c>
      <c r="M5" s="134" t="n">
        <f aca="false">L5-C5</f>
        <v>14513374</v>
      </c>
      <c r="N5" s="135" t="s">
        <v>290</v>
      </c>
    </row>
    <row r="6" customFormat="false" ht="15" hidden="false" customHeight="false" outlineLevel="0" collapsed="false">
      <c r="A6" s="131" t="s">
        <v>291</v>
      </c>
      <c r="B6" s="132" t="s">
        <v>242</v>
      </c>
      <c r="C6" s="133" t="n">
        <v>198789496</v>
      </c>
      <c r="D6" s="133" t="n">
        <v>198381496</v>
      </c>
      <c r="E6" s="133" t="n">
        <v>198675496</v>
      </c>
      <c r="F6" s="133" t="n">
        <v>198675496</v>
      </c>
      <c r="G6" s="133" t="n">
        <v>198849496</v>
      </c>
      <c r="H6" s="133" t="n">
        <v>197005196</v>
      </c>
      <c r="I6" s="133" t="n">
        <v>198055387</v>
      </c>
      <c r="J6" s="133" t="n">
        <v>198316568</v>
      </c>
      <c r="K6" s="133" t="n">
        <v>198055387</v>
      </c>
      <c r="L6" s="133" t="n">
        <v>197778001</v>
      </c>
      <c r="M6" s="136" t="n">
        <f aca="false">L6-C6</f>
        <v>-1011495</v>
      </c>
      <c r="N6" s="135" t="s">
        <v>292</v>
      </c>
    </row>
    <row r="7" customFormat="false" ht="15" hidden="false" customHeight="false" outlineLevel="0" collapsed="false">
      <c r="A7" s="131" t="s">
        <v>293</v>
      </c>
      <c r="B7" s="137" t="s">
        <v>294</v>
      </c>
      <c r="C7" s="133" t="n">
        <v>156496714</v>
      </c>
      <c r="D7" s="133" t="n">
        <v>156888215</v>
      </c>
      <c r="E7" s="133" t="n">
        <v>156684015</v>
      </c>
      <c r="F7" s="133" t="n">
        <v>156684015</v>
      </c>
      <c r="G7" s="133" t="n">
        <v>156760015</v>
      </c>
      <c r="H7" s="133" t="n">
        <v>167280505</v>
      </c>
      <c r="I7" s="133" t="n">
        <v>157088593</v>
      </c>
      <c r="J7" s="133" t="n">
        <v>162498281</v>
      </c>
      <c r="K7" s="133" t="n">
        <v>157760090</v>
      </c>
      <c r="L7" s="133" t="n">
        <v>157075417</v>
      </c>
      <c r="M7" s="134" t="n">
        <f aca="false">L7-C7</f>
        <v>578703</v>
      </c>
      <c r="N7" s="135" t="s">
        <v>295</v>
      </c>
    </row>
    <row r="8" customFormat="false" ht="15" hidden="false" customHeight="false" outlineLevel="0" collapsed="false">
      <c r="A8" s="131" t="s">
        <v>296</v>
      </c>
      <c r="B8" s="132" t="s">
        <v>248</v>
      </c>
      <c r="C8" s="133" t="n">
        <v>152102420</v>
      </c>
      <c r="D8" s="133" t="n">
        <v>152102420</v>
      </c>
      <c r="E8" s="133" t="n">
        <v>152102420</v>
      </c>
      <c r="F8" s="133" t="n">
        <v>152102420</v>
      </c>
      <c r="G8" s="133" t="n">
        <v>152102420</v>
      </c>
      <c r="H8" s="133" t="n">
        <v>152144420</v>
      </c>
      <c r="I8" s="133" t="n">
        <v>152144420</v>
      </c>
      <c r="J8" s="133" t="n">
        <v>152144420</v>
      </c>
      <c r="K8" s="133" t="n">
        <v>152102420</v>
      </c>
      <c r="L8" s="133" t="n">
        <v>152102420</v>
      </c>
      <c r="M8" s="136" t="n">
        <f aca="false">L8-C8</f>
        <v>0</v>
      </c>
      <c r="N8" s="138" t="s">
        <v>297</v>
      </c>
    </row>
    <row r="9" customFormat="false" ht="15" hidden="false" customHeight="false" outlineLevel="0" collapsed="false">
      <c r="A9" s="131" t="s">
        <v>298</v>
      </c>
      <c r="B9" s="137" t="s">
        <v>294</v>
      </c>
      <c r="C9" s="133" t="n">
        <v>101521300</v>
      </c>
      <c r="D9" s="133" t="n">
        <v>101521300</v>
      </c>
      <c r="E9" s="133" t="n">
        <v>101521300</v>
      </c>
      <c r="F9" s="133" t="n">
        <v>101521300</v>
      </c>
      <c r="G9" s="133" t="n">
        <v>101521300</v>
      </c>
      <c r="H9" s="133" t="n">
        <v>101521300</v>
      </c>
      <c r="I9" s="133" t="n">
        <v>102427172</v>
      </c>
      <c r="J9" s="133" t="n">
        <v>101521300</v>
      </c>
      <c r="K9" s="133" t="n">
        <v>102155154</v>
      </c>
      <c r="L9" s="133" t="n">
        <v>101528107</v>
      </c>
      <c r="M9" s="134" t="n">
        <f aca="false">L9-C9</f>
        <v>6807</v>
      </c>
      <c r="N9" s="138" t="s">
        <v>297</v>
      </c>
    </row>
    <row r="10" customFormat="false" ht="15" hidden="false" customHeight="false" outlineLevel="0" collapsed="false">
      <c r="A10" s="131" t="s">
        <v>299</v>
      </c>
      <c r="B10" s="132" t="s">
        <v>239</v>
      </c>
      <c r="C10" s="133" t="n">
        <v>98754794</v>
      </c>
      <c r="D10" s="133" t="n">
        <v>99256316</v>
      </c>
      <c r="E10" s="133" t="n">
        <v>91950242</v>
      </c>
      <c r="F10" s="133" t="n">
        <v>91950242</v>
      </c>
      <c r="G10" s="133" t="n">
        <v>86467733</v>
      </c>
      <c r="H10" s="133" t="n">
        <v>74417490</v>
      </c>
      <c r="I10" s="133" t="n">
        <v>79824121</v>
      </c>
      <c r="J10" s="133" t="n">
        <v>87878570</v>
      </c>
      <c r="K10" s="133" t="n">
        <v>92491656</v>
      </c>
      <c r="L10" s="133" t="n">
        <v>95129708</v>
      </c>
      <c r="M10" s="136" t="n">
        <f aca="false">L10-C10</f>
        <v>-3625086</v>
      </c>
      <c r="N10" s="139" t="s">
        <v>300</v>
      </c>
    </row>
    <row r="11" customFormat="false" ht="15" hidden="false" customHeight="false" outlineLevel="0" collapsed="false">
      <c r="A11" s="131" t="s">
        <v>301</v>
      </c>
      <c r="B11" s="132" t="s">
        <v>266</v>
      </c>
      <c r="C11" s="133" t="n">
        <v>96626355</v>
      </c>
      <c r="D11" s="133" t="n">
        <v>95774355</v>
      </c>
      <c r="E11" s="133" t="n">
        <v>95504355</v>
      </c>
      <c r="F11" s="133" t="n">
        <v>95504355</v>
      </c>
      <c r="G11" s="133" t="n">
        <v>95894355</v>
      </c>
      <c r="H11" s="133" t="n">
        <v>92062318</v>
      </c>
      <c r="I11" s="133" t="n">
        <v>91800318</v>
      </c>
      <c r="J11" s="133" t="n">
        <v>91866318</v>
      </c>
      <c r="K11" s="133" t="n">
        <v>91594318</v>
      </c>
      <c r="L11" s="133" t="n">
        <v>91856318</v>
      </c>
      <c r="M11" s="136" t="n">
        <f aca="false">L11-C11</f>
        <v>-4770037</v>
      </c>
      <c r="N11" s="140" t="s">
        <v>266</v>
      </c>
    </row>
    <row r="12" customFormat="false" ht="15" hidden="false" customHeight="false" outlineLevel="0" collapsed="false">
      <c r="A12" s="131" t="s">
        <v>302</v>
      </c>
      <c r="B12" s="132" t="s">
        <v>266</v>
      </c>
      <c r="C12" s="133" t="n">
        <v>58724000</v>
      </c>
      <c r="D12" s="133" t="n">
        <v>58252000</v>
      </c>
      <c r="E12" s="133" t="n">
        <v>58946000</v>
      </c>
      <c r="F12" s="133" t="n">
        <v>58946000</v>
      </c>
      <c r="G12" s="133" t="n">
        <v>59994000</v>
      </c>
      <c r="H12" s="133" t="n">
        <v>56984000</v>
      </c>
      <c r="I12" s="133" t="n">
        <v>56362000</v>
      </c>
      <c r="J12" s="133" t="n">
        <v>57096000</v>
      </c>
      <c r="K12" s="133" t="n">
        <v>55544000</v>
      </c>
      <c r="L12" s="133" t="n">
        <v>54142000</v>
      </c>
      <c r="M12" s="136" t="n">
        <f aca="false">L12-C12</f>
        <v>-4582000</v>
      </c>
      <c r="N12" s="140" t="s">
        <v>266</v>
      </c>
    </row>
    <row r="13" customFormat="false" ht="15" hidden="false" customHeight="false" outlineLevel="0" collapsed="false">
      <c r="A13" s="131" t="s">
        <v>303</v>
      </c>
      <c r="B13" s="132" t="s">
        <v>255</v>
      </c>
      <c r="C13" s="133" t="n">
        <v>44845454</v>
      </c>
      <c r="D13" s="133" t="n">
        <v>44851454</v>
      </c>
      <c r="E13" s="133" t="n">
        <v>44831454</v>
      </c>
      <c r="F13" s="133" t="n">
        <v>44831454</v>
      </c>
      <c r="G13" s="133" t="n">
        <v>44835454</v>
      </c>
      <c r="H13" s="133" t="n">
        <v>44740522</v>
      </c>
      <c r="I13" s="133" t="n">
        <v>45644522</v>
      </c>
      <c r="J13" s="133" t="n">
        <v>48799373</v>
      </c>
      <c r="K13" s="133" t="n">
        <v>49451373</v>
      </c>
      <c r="L13" s="133" t="n">
        <v>49671373</v>
      </c>
      <c r="M13" s="134" t="n">
        <f aca="false">L13-C13</f>
        <v>4825919</v>
      </c>
      <c r="N13" s="139" t="s">
        <v>304</v>
      </c>
    </row>
    <row r="14" customFormat="false" ht="15" hidden="false" customHeight="false" outlineLevel="0" collapsed="false">
      <c r="A14" s="131" t="s">
        <v>257</v>
      </c>
      <c r="B14" s="132" t="s">
        <v>239</v>
      </c>
      <c r="C14" s="133" t="n">
        <v>34100140</v>
      </c>
      <c r="D14" s="133" t="n">
        <v>34066140</v>
      </c>
      <c r="E14" s="133" t="n">
        <v>34126140</v>
      </c>
      <c r="F14" s="133" t="n">
        <v>34126140</v>
      </c>
      <c r="G14" s="133" t="n">
        <v>34296140</v>
      </c>
      <c r="H14" s="133" t="n">
        <v>33202140</v>
      </c>
      <c r="I14" s="133" t="n">
        <v>31844140</v>
      </c>
      <c r="J14" s="133" t="n">
        <v>31742140</v>
      </c>
      <c r="K14" s="133" t="n">
        <v>31156140</v>
      </c>
      <c r="L14" s="133" t="n">
        <v>31050140</v>
      </c>
      <c r="M14" s="136" t="n">
        <f aca="false">L14-C14</f>
        <v>-3050000</v>
      </c>
      <c r="N14" s="138" t="s">
        <v>305</v>
      </c>
    </row>
    <row r="15" customFormat="false" ht="15" hidden="false" customHeight="false" outlineLevel="0" collapsed="false">
      <c r="A15" s="131" t="s">
        <v>306</v>
      </c>
      <c r="B15" s="137" t="s">
        <v>294</v>
      </c>
      <c r="C15" s="133" t="n">
        <v>8512535</v>
      </c>
      <c r="D15" s="133" t="n">
        <v>7920535</v>
      </c>
      <c r="E15" s="133" t="n">
        <v>7857704</v>
      </c>
      <c r="F15" s="133" t="n">
        <v>7857704</v>
      </c>
      <c r="G15" s="133" t="n">
        <v>8976292</v>
      </c>
      <c r="H15" s="133" t="n">
        <v>9268866</v>
      </c>
      <c r="I15" s="133" t="n">
        <v>8801066</v>
      </c>
      <c r="J15" s="133" t="n">
        <v>7792998</v>
      </c>
      <c r="K15" s="133" t="n">
        <v>8244796</v>
      </c>
      <c r="L15" s="133" t="n">
        <v>7002003</v>
      </c>
      <c r="M15" s="136" t="n">
        <f aca="false">L15-C15</f>
        <v>-1510532</v>
      </c>
      <c r="N15" s="135" t="s">
        <v>290</v>
      </c>
    </row>
    <row r="16" customFormat="false" ht="15" hidden="false" customHeight="false" outlineLevel="0" collapsed="false">
      <c r="A16" s="141" t="s">
        <v>259</v>
      </c>
      <c r="B16" s="137" t="s">
        <v>294</v>
      </c>
      <c r="C16" s="133" t="n">
        <v>5885669</v>
      </c>
      <c r="D16" s="133" t="n">
        <v>5028669</v>
      </c>
      <c r="E16" s="133" t="n">
        <v>5477776</v>
      </c>
      <c r="F16" s="133" t="n">
        <v>5477776</v>
      </c>
      <c r="G16" s="133" t="n">
        <v>5239776</v>
      </c>
      <c r="H16" s="133" t="n">
        <v>6405776</v>
      </c>
      <c r="I16" s="133" t="n">
        <v>6366776</v>
      </c>
      <c r="J16" s="133" t="n">
        <v>6350776</v>
      </c>
      <c r="K16" s="133" t="n">
        <v>5689514</v>
      </c>
      <c r="L16" s="133" t="n">
        <v>5293513</v>
      </c>
      <c r="M16" s="136" t="n">
        <f aca="false">L16-C16</f>
        <v>-592156</v>
      </c>
      <c r="N16" s="135" t="s">
        <v>290</v>
      </c>
    </row>
    <row r="17" customFormat="false" ht="15" hidden="false" customHeight="false" outlineLevel="0" collapsed="false">
      <c r="A17" s="131" t="s">
        <v>307</v>
      </c>
      <c r="B17" s="132" t="s">
        <v>242</v>
      </c>
      <c r="C17" s="133" t="n">
        <v>5811451</v>
      </c>
      <c r="D17" s="133" t="n">
        <v>6039451</v>
      </c>
      <c r="E17" s="133" t="n">
        <v>5589451</v>
      </c>
      <c r="F17" s="133" t="n">
        <v>5589451</v>
      </c>
      <c r="G17" s="133" t="n">
        <v>5707451</v>
      </c>
      <c r="H17" s="133" t="n">
        <v>6545000</v>
      </c>
      <c r="I17" s="133" t="n">
        <v>6739000</v>
      </c>
      <c r="J17" s="133" t="n">
        <v>6479000</v>
      </c>
      <c r="K17" s="133" t="n">
        <v>7369000</v>
      </c>
      <c r="L17" s="133" t="n">
        <v>7767000</v>
      </c>
      <c r="M17" s="134" t="n">
        <f aca="false">L17-C17</f>
        <v>1955549</v>
      </c>
      <c r="N17" s="139" t="s">
        <v>308</v>
      </c>
    </row>
    <row r="18" customFormat="false" ht="15" hidden="false" customHeight="false" outlineLevel="0" collapsed="false">
      <c r="A18" s="131" t="s">
        <v>309</v>
      </c>
      <c r="B18" s="137" t="s">
        <v>294</v>
      </c>
      <c r="C18" s="133" t="n">
        <v>5500588</v>
      </c>
      <c r="D18" s="133" t="n">
        <v>5462768</v>
      </c>
      <c r="E18" s="133" t="n">
        <v>5378588</v>
      </c>
      <c r="F18" s="133" t="n">
        <v>5378588</v>
      </c>
      <c r="G18" s="133" t="n">
        <v>5384588</v>
      </c>
      <c r="H18" s="133" t="n">
        <v>10234588</v>
      </c>
      <c r="I18" s="133" t="n">
        <v>10123757</v>
      </c>
      <c r="J18" s="133" t="n">
        <v>5326588</v>
      </c>
      <c r="K18" s="133" t="n">
        <v>6906588</v>
      </c>
      <c r="L18" s="133" t="n">
        <v>7102588</v>
      </c>
      <c r="M18" s="134" t="n">
        <f aca="false">L18-C18</f>
        <v>1602000</v>
      </c>
      <c r="N18" s="139" t="s">
        <v>310</v>
      </c>
    </row>
    <row r="19" customFormat="false" ht="15" hidden="false" customHeight="false" outlineLevel="0" collapsed="false">
      <c r="A19" s="131" t="s">
        <v>311</v>
      </c>
      <c r="B19" s="137" t="s">
        <v>294</v>
      </c>
      <c r="C19" s="133" t="n">
        <v>744000</v>
      </c>
      <c r="D19" s="133" t="n">
        <v>430000</v>
      </c>
      <c r="E19" s="133" t="n">
        <v>430000</v>
      </c>
      <c r="F19" s="133" t="n">
        <v>430000</v>
      </c>
      <c r="G19" s="133" t="n">
        <v>3860000</v>
      </c>
      <c r="H19" s="133" t="n">
        <v>0</v>
      </c>
      <c r="I19" s="133" t="n">
        <v>0</v>
      </c>
      <c r="J19" s="133" t="n">
        <v>0</v>
      </c>
      <c r="K19" s="133" t="n">
        <v>0</v>
      </c>
      <c r="L19" s="133" t="n">
        <v>0</v>
      </c>
      <c r="M19" s="136" t="n">
        <f aca="false">L19-C19</f>
        <v>-744000</v>
      </c>
      <c r="N19" s="135" t="s">
        <v>312</v>
      </c>
    </row>
    <row r="20" customFormat="false" ht="15" hidden="false" customHeight="false" outlineLevel="0" collapsed="false">
      <c r="A20" s="142" t="s">
        <v>313</v>
      </c>
    </row>
    <row r="22" customFormat="false" ht="15" hidden="false" customHeight="false" outlineLevel="0" collapsed="false">
      <c r="A22" s="143" t="s">
        <v>314</v>
      </c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</row>
    <row r="23" customFormat="false" ht="15" hidden="false" customHeight="false" outlineLevel="0" collapsed="false">
      <c r="A23" s="145" t="s">
        <v>9</v>
      </c>
      <c r="C23" s="146" t="s">
        <v>277</v>
      </c>
      <c r="D23" s="146" t="s">
        <v>278</v>
      </c>
      <c r="E23" s="146" t="s">
        <v>279</v>
      </c>
      <c r="F23" s="146" t="s">
        <v>280</v>
      </c>
      <c r="G23" s="146" t="s">
        <v>281</v>
      </c>
      <c r="H23" s="146" t="s">
        <v>282</v>
      </c>
      <c r="I23" s="146" t="s">
        <v>283</v>
      </c>
      <c r="J23" s="146" t="s">
        <v>284</v>
      </c>
      <c r="K23" s="146" t="s">
        <v>285</v>
      </c>
      <c r="L23" s="146" t="s">
        <v>286</v>
      </c>
      <c r="M23" s="147" t="s">
        <v>315</v>
      </c>
    </row>
    <row r="24" customFormat="false" ht="15" hidden="false" customHeight="false" outlineLevel="0" collapsed="false">
      <c r="A24" s="131" t="s">
        <v>316</v>
      </c>
      <c r="C24" s="133" t="n">
        <v>1401000000</v>
      </c>
    </row>
    <row r="25" customFormat="false" ht="15" hidden="false" customHeight="false" outlineLevel="0" collapsed="false">
      <c r="A25" s="148" t="s">
        <v>317</v>
      </c>
      <c r="C25" s="149" t="n">
        <f aca="false">(C11+C12)/$C$24</f>
        <v>0.110885335474661</v>
      </c>
      <c r="D25" s="149" t="n">
        <f aca="false">(D11+D12)/$C$24</f>
        <v>0.109940296216988</v>
      </c>
      <c r="E25" s="149" t="n">
        <f aca="false">(E11+E12)/$C$24</f>
        <v>0.110242937187723</v>
      </c>
      <c r="F25" s="149" t="n">
        <f aca="false">(F11+F12)/$C$24</f>
        <v>0.110242937187723</v>
      </c>
      <c r="G25" s="149" t="n">
        <f aca="false">(G11+G12)/$C$24</f>
        <v>0.111269346895075</v>
      </c>
      <c r="H25" s="149" t="n">
        <f aca="false">(H11+H12)/$C$24</f>
        <v>0.106385665952891</v>
      </c>
      <c r="I25" s="149" t="n">
        <f aca="false">(I11+I12)/$C$24</f>
        <v>0.105754688079943</v>
      </c>
      <c r="J25" s="149" t="n">
        <f aca="false">(J11+J12)/$C$24</f>
        <v>0.106325708779443</v>
      </c>
      <c r="K25" s="149" t="n">
        <f aca="false">(K11+K12)/$C$24</f>
        <v>0.105023781584582</v>
      </c>
      <c r="L25" s="149" t="n">
        <f aca="false">(L11+L12)/$C$24</f>
        <v>0.104210077087794</v>
      </c>
      <c r="M25" s="150" t="n">
        <f aca="false">L25-C25</f>
        <v>-0.00667525838686651</v>
      </c>
    </row>
    <row r="26" customFormat="false" ht="15" hidden="false" customHeight="false" outlineLevel="0" collapsed="false">
      <c r="A26" s="131" t="s">
        <v>318</v>
      </c>
      <c r="C26" s="151" t="n">
        <f aca="false">SUM(C5:C9)/$C$24</f>
        <v>0.639323775874376</v>
      </c>
      <c r="D26" s="151" t="n">
        <f aca="false">SUM(D5:D9)/$C$24</f>
        <v>0.640791165596003</v>
      </c>
      <c r="E26" s="151" t="n">
        <f aca="false">SUM(E5:E9)/$C$24</f>
        <v>0.645603369735903</v>
      </c>
      <c r="F26" s="151" t="n">
        <f aca="false">SUM(F5:F9)/$C$24</f>
        <v>0.645603369735903</v>
      </c>
      <c r="G26" s="151" t="n">
        <f aca="false">SUM(G5:G9)/$C$24</f>
        <v>0.64408133047823</v>
      </c>
      <c r="H26" s="151" t="n">
        <f aca="false">SUM(H5:H9)/$C$24</f>
        <v>0.658052500356888</v>
      </c>
      <c r="I26" s="151" t="n">
        <f aca="false">SUM(I5:I9)/$C$24</f>
        <v>0.650126063526053</v>
      </c>
      <c r="J26" s="151" t="n">
        <f aca="false">SUM(J5:J9)/$C$24</f>
        <v>0.655557029264811</v>
      </c>
      <c r="K26" s="151" t="n">
        <f aca="false">SUM(K5:K9)/$C$24</f>
        <v>0.652398508922198</v>
      </c>
      <c r="L26" s="151" t="n">
        <f aca="false">SUM(L5:L9)/$C$24</f>
        <v>0.649379014275518</v>
      </c>
    </row>
    <row r="28" customFormat="false" ht="17.15" hidden="false" customHeight="false" outlineLevel="0" collapsed="false">
      <c r="A28" s="143" t="s">
        <v>319</v>
      </c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</row>
    <row r="29" customFormat="false" ht="15" hidden="false" customHeight="false" outlineLevel="0" collapsed="false">
      <c r="A29" s="145" t="s">
        <v>159</v>
      </c>
      <c r="B29" s="146" t="s">
        <v>278</v>
      </c>
      <c r="C29" s="146" t="s">
        <v>279</v>
      </c>
      <c r="D29" s="146" t="s">
        <v>280</v>
      </c>
      <c r="E29" s="146" t="s">
        <v>281</v>
      </c>
      <c r="F29" s="146" t="s">
        <v>282</v>
      </c>
      <c r="G29" s="146" t="s">
        <v>283</v>
      </c>
      <c r="H29" s="146" t="s">
        <v>284</v>
      </c>
      <c r="I29" s="146" t="s">
        <v>285</v>
      </c>
      <c r="J29" s="146" t="s">
        <v>286</v>
      </c>
      <c r="K29" s="147" t="s">
        <v>320</v>
      </c>
      <c r="L29" s="147" t="s">
        <v>321</v>
      </c>
    </row>
    <row r="30" customFormat="false" ht="15" hidden="false" customHeight="false" outlineLevel="0" collapsed="false">
      <c r="A30" s="152" t="s">
        <v>322</v>
      </c>
      <c r="B30" s="153" t="n">
        <f aca="false">((D11+D12)-(C11+C12))/10000</f>
        <v>-132.4</v>
      </c>
      <c r="C30" s="153" t="n">
        <f aca="false">((E11+E12)-(D11+D12))/10000</f>
        <v>42.4</v>
      </c>
      <c r="D30" s="153" t="n">
        <f aca="false">((F11+F12)-(E11+E12))/10000</f>
        <v>0</v>
      </c>
      <c r="E30" s="153" t="n">
        <f aca="false">((G11+G12)-(F11+F12))/10000</f>
        <v>143.8</v>
      </c>
      <c r="F30" s="153" t="n">
        <f aca="false">((H11+H12)-(G11+G12))/10000</f>
        <v>-684.2037</v>
      </c>
      <c r="G30" s="153" t="n">
        <f aca="false">((I11+I12)-(H11+H12))/10000</f>
        <v>-88.4</v>
      </c>
      <c r="H30" s="153" t="n">
        <f aca="false">((J11+J12)-(I11+I12))/10000</f>
        <v>80</v>
      </c>
      <c r="I30" s="153" t="n">
        <f aca="false">((K11+K12)-(J11+J12))/10000</f>
        <v>-182.4</v>
      </c>
      <c r="J30" s="153" t="n">
        <f aca="false">((L11+L12)-(K11+K12))/10000</f>
        <v>-114</v>
      </c>
      <c r="K30" s="154" t="n">
        <f aca="false">((L11+L12)-(C11+C12))/10000</f>
        <v>-935.2037</v>
      </c>
      <c r="L30" s="155" t="s">
        <v>323</v>
      </c>
    </row>
    <row r="31" customFormat="false" ht="15" hidden="false" customHeight="false" outlineLevel="0" collapsed="false">
      <c r="A31" s="156" t="s">
        <v>324</v>
      </c>
      <c r="B31" s="157" t="n">
        <f aca="false">((D13)-(C13))/10000</f>
        <v>0.6</v>
      </c>
      <c r="C31" s="157" t="n">
        <f aca="false">((E13)-(D13))/10000</f>
        <v>-2</v>
      </c>
      <c r="D31" s="157" t="n">
        <f aca="false">((F13)-(E13))/10000</f>
        <v>0</v>
      </c>
      <c r="E31" s="157" t="n">
        <f aca="false">((G13)-(F13))/10000</f>
        <v>0.4</v>
      </c>
      <c r="F31" s="157" t="n">
        <f aca="false">((H13)-(G13))/10000</f>
        <v>-9.4932</v>
      </c>
      <c r="G31" s="157" t="n">
        <f aca="false">((I13)-(H13))/10000</f>
        <v>90.4</v>
      </c>
      <c r="H31" s="157" t="n">
        <f aca="false">((J13)-(I13))/10000</f>
        <v>315.4851</v>
      </c>
      <c r="I31" s="157" t="n">
        <f aca="false">((K13)-(J13))/10000</f>
        <v>65.2</v>
      </c>
      <c r="J31" s="157" t="n">
        <f aca="false">((L13)-(K13))/10000</f>
        <v>22</v>
      </c>
      <c r="K31" s="158" t="n">
        <f aca="false">((L13)-(C13))/10000</f>
        <v>482.5919</v>
      </c>
      <c r="L31" s="159" t="s">
        <v>325</v>
      </c>
    </row>
    <row r="32" customFormat="false" ht="15" hidden="false" customHeight="false" outlineLevel="0" collapsed="false">
      <c r="A32" s="160" t="s">
        <v>326</v>
      </c>
      <c r="B32" s="161" t="n">
        <f aca="false">((D10)-(C10))/10000</f>
        <v>50.1522</v>
      </c>
      <c r="C32" s="161" t="n">
        <f aca="false">((E10)-(D10))/10000</f>
        <v>-730.6074</v>
      </c>
      <c r="D32" s="161" t="n">
        <f aca="false">((F10)-(E10))/10000</f>
        <v>0</v>
      </c>
      <c r="E32" s="161" t="n">
        <f aca="false">((G10)-(F10))/10000</f>
        <v>-548.2509</v>
      </c>
      <c r="F32" s="161" t="n">
        <f aca="false">((H10)-(G10))/10000</f>
        <v>-1205.0243</v>
      </c>
      <c r="G32" s="161" t="n">
        <f aca="false">((I10)-(H10))/10000</f>
        <v>540.6631</v>
      </c>
      <c r="H32" s="161" t="n">
        <f aca="false">((J10)-(I10))/10000</f>
        <v>805.4449</v>
      </c>
      <c r="I32" s="161" t="n">
        <f aca="false">((K10)-(J10))/10000</f>
        <v>461.3086</v>
      </c>
      <c r="J32" s="161" t="n">
        <f aca="false">((L10)-(K10))/10000</f>
        <v>263.8052</v>
      </c>
      <c r="K32" s="162" t="n">
        <f aca="false">((L10)-(C10))/10000</f>
        <v>-362.5086</v>
      </c>
      <c r="L32" s="163" t="s">
        <v>327</v>
      </c>
    </row>
    <row r="33" customFormat="false" ht="15" hidden="false" customHeight="false" outlineLevel="0" collapsed="false">
      <c r="A33" s="164" t="s">
        <v>328</v>
      </c>
      <c r="B33" s="161" t="n">
        <f aca="false">((D7+D15+D16+D18+D19)-(C7+C15+C16+C18+C19))/10000</f>
        <v>-140.9319</v>
      </c>
      <c r="C33" s="161" t="n">
        <f aca="false">((E7+E15+E16+E18+E19)-(D7+D15+D16+D18+D19))/10000</f>
        <v>9.7896</v>
      </c>
      <c r="D33" s="161" t="n">
        <f aca="false">((F7+F15+F16+F18+F19)-(E7+E15+E16+E18+E19))/10000</f>
        <v>0</v>
      </c>
      <c r="E33" s="161" t="n">
        <f aca="false">((G7+G15+G16+G18+G19)-(F7+F15+F16+F18+F19))/10000</f>
        <v>439.2588</v>
      </c>
      <c r="F33" s="161" t="n">
        <f aca="false">((H7+H15+H16+H18+H19)-(G7+G15+G16+G18+G19))/10000</f>
        <v>1296.9064</v>
      </c>
      <c r="G33" s="161" t="n">
        <f aca="false">((I7+I15+I16+I18+I19)-(H7+H15+H16+H18+H19))/10000</f>
        <v>-1080.9543</v>
      </c>
      <c r="H33" s="161" t="n">
        <f aca="false">((J7+J15+J16+J18+J19)-(I7+I15+I16+I18+I19))/10000</f>
        <v>-41.1549</v>
      </c>
      <c r="I33" s="161" t="n">
        <f aca="false">((K7+K15+K16+K18+K19)-(J7+J15+J16+J18+J19))/10000</f>
        <v>-336.7655</v>
      </c>
      <c r="J33" s="161" t="n">
        <f aca="false">((L7+L15+L16+L18+L19)-(K7+K15+K16+K18+K19))/10000</f>
        <v>-212.7467</v>
      </c>
      <c r="K33" s="162" t="n">
        <f aca="false">((L7+L15+L16+L18+L19)-(C7+C15+C16+C18+C19))/10000</f>
        <v>-66.5985</v>
      </c>
      <c r="L33" s="163" t="s">
        <v>329</v>
      </c>
    </row>
    <row r="34" customFormat="false" ht="15" hidden="false" customHeight="false" outlineLevel="0" collapsed="false">
      <c r="A34" s="160" t="s">
        <v>330</v>
      </c>
      <c r="B34" s="161" t="n">
        <f aca="false">((D6+D17)-(C6+C17))/10000</f>
        <v>-18</v>
      </c>
      <c r="C34" s="161" t="n">
        <f aca="false">((E6+E17)-(D6+D17))/10000</f>
        <v>-15.6</v>
      </c>
      <c r="D34" s="161" t="n">
        <f aca="false">((F6+F17)-(E6+E17))/10000</f>
        <v>0</v>
      </c>
      <c r="E34" s="161" t="n">
        <f aca="false">((G6+G17)-(F6+F17))/10000</f>
        <v>29.2</v>
      </c>
      <c r="F34" s="161" t="n">
        <f aca="false">((H6+H17)-(G6+G17))/10000</f>
        <v>-100.6751</v>
      </c>
      <c r="G34" s="161" t="n">
        <f aca="false">((I6+I17)-(H6+H17))/10000</f>
        <v>124.4191</v>
      </c>
      <c r="H34" s="161" t="n">
        <f aca="false">((J6+J17)-(I6+I17))/10000</f>
        <v>0.1181</v>
      </c>
      <c r="I34" s="161" t="n">
        <f aca="false">((K6+K17)-(J6+J17))/10000</f>
        <v>62.8819</v>
      </c>
      <c r="J34" s="161" t="n">
        <f aca="false">((L6+L17)-(K6+K17))/10000</f>
        <v>12.0614</v>
      </c>
      <c r="K34" s="162" t="n">
        <f aca="false">((L6+L17)-(C6+C17))/10000</f>
        <v>94.4054</v>
      </c>
      <c r="L34" s="163" t="s">
        <v>331</v>
      </c>
    </row>
    <row r="35" customFormat="false" ht="15" hidden="false" customHeight="false" outlineLevel="0" collapsed="false">
      <c r="A35" s="160" t="s">
        <v>332</v>
      </c>
      <c r="B35" s="161" t="n">
        <f aca="false">((D5)-(C5))/10000</f>
        <v>207.2312</v>
      </c>
      <c r="C35" s="161" t="n">
        <f aca="false">((E5)-(D5))/10000</f>
        <v>665.2098</v>
      </c>
      <c r="D35" s="161" t="n">
        <f aca="false">((F5)-(E5))/10000</f>
        <v>0</v>
      </c>
      <c r="E35" s="161" t="n">
        <f aca="false">((G5)-(F5))/10000</f>
        <v>-238.2377</v>
      </c>
      <c r="F35" s="161" t="n">
        <f aca="false">((H5)-(G5))/10000</f>
        <v>1085.5419</v>
      </c>
      <c r="G35" s="161" t="n">
        <f aca="false">((I5)-(H5))/10000</f>
        <v>-286.9089</v>
      </c>
      <c r="H35" s="161" t="n">
        <f aca="false">((J5)-(I5))/10000</f>
        <v>284.3786</v>
      </c>
      <c r="I35" s="161" t="n">
        <f aca="false">((K5)-(J5))/10000</f>
        <v>-1.7569</v>
      </c>
      <c r="J35" s="161" t="n">
        <f aca="false">((L5)-(K5))/10000</f>
        <v>-264.1206</v>
      </c>
      <c r="K35" s="162" t="n">
        <f aca="false">((L5)-(C5))/10000</f>
        <v>1451.3374</v>
      </c>
      <c r="L35" s="163" t="s">
        <v>333</v>
      </c>
    </row>
    <row r="37" customFormat="false" ht="17.15" hidden="false" customHeight="false" outlineLevel="0" collapsed="false">
      <c r="A37" s="143" t="s">
        <v>334</v>
      </c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</row>
    <row r="38" customFormat="false" ht="15" hidden="false" customHeight="false" outlineLevel="0" collapsed="false">
      <c r="A38" s="145" t="s">
        <v>335</v>
      </c>
      <c r="B38" s="146" t="s">
        <v>277</v>
      </c>
      <c r="C38" s="146" t="s">
        <v>278</v>
      </c>
      <c r="D38" s="146" t="s">
        <v>279</v>
      </c>
      <c r="E38" s="146" t="s">
        <v>280</v>
      </c>
      <c r="F38" s="146" t="s">
        <v>281</v>
      </c>
      <c r="G38" s="146" t="s">
        <v>282</v>
      </c>
      <c r="H38" s="146" t="s">
        <v>283</v>
      </c>
      <c r="I38" s="146" t="s">
        <v>284</v>
      </c>
      <c r="J38" s="146" t="s">
        <v>285</v>
      </c>
      <c r="K38" s="146" t="s">
        <v>286</v>
      </c>
    </row>
    <row r="39" customFormat="false" ht="15" hidden="false" customHeight="false" outlineLevel="0" collapsed="false">
      <c r="A39" s="131" t="s">
        <v>336</v>
      </c>
      <c r="B39" s="165" t="n">
        <v>9.3</v>
      </c>
      <c r="C39" s="165" t="n">
        <v>9.3</v>
      </c>
      <c r="D39" s="165" t="n">
        <v>9.2</v>
      </c>
      <c r="E39" s="165" t="n">
        <v>9.1</v>
      </c>
      <c r="F39" s="165" t="n">
        <v>8.9</v>
      </c>
      <c r="G39" s="165" t="n">
        <v>8.7</v>
      </c>
      <c r="H39" s="165" t="n">
        <v>8.55</v>
      </c>
      <c r="I39" s="165" t="n">
        <v>8.4</v>
      </c>
      <c r="J39" s="165" t="n">
        <v>8.95</v>
      </c>
      <c r="K39" s="165" t="n">
        <v>9.34</v>
      </c>
    </row>
    <row r="40" customFormat="false" ht="15" hidden="false" customHeight="false" outlineLevel="0" collapsed="false">
      <c r="A40" s="166" t="s">
        <v>337</v>
      </c>
    </row>
    <row r="42" customFormat="false" ht="15" hidden="false" customHeight="false" outlineLevel="0" collapsed="false">
      <c r="A42" s="143" t="s">
        <v>338</v>
      </c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</row>
    <row r="43" customFormat="false" ht="31.5" hidden="false" customHeight="true" outlineLevel="0" collapsed="false">
      <c r="A43" s="167" t="s">
        <v>339</v>
      </c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</row>
    <row r="44" customFormat="false" ht="31.5" hidden="false" customHeight="true" outlineLevel="0" collapsed="false">
      <c r="A44" s="167" t="s">
        <v>340</v>
      </c>
      <c r="B44" s="167"/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</row>
    <row r="45" customFormat="false" ht="31.5" hidden="false" customHeight="true" outlineLevel="0" collapsed="false">
      <c r="A45" s="167" t="s">
        <v>341</v>
      </c>
      <c r="B45" s="167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</row>
    <row r="46" customFormat="false" ht="31.5" hidden="false" customHeight="true" outlineLevel="0" collapsed="false">
      <c r="A46" s="167" t="s">
        <v>342</v>
      </c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</row>
    <row r="47" customFormat="false" ht="31.5" hidden="false" customHeight="true" outlineLevel="0" collapsed="false">
      <c r="A47" s="167" t="s">
        <v>343</v>
      </c>
      <c r="B47" s="167"/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</row>
    <row r="48" customFormat="false" ht="31.5" hidden="false" customHeight="true" outlineLevel="0" collapsed="false">
      <c r="A48" s="167" t="s">
        <v>344</v>
      </c>
      <c r="B48" s="167"/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</row>
    <row r="50" customFormat="false" ht="15" hidden="false" customHeight="false" outlineLevel="0" collapsed="false">
      <c r="A50" s="166" t="s">
        <v>345</v>
      </c>
    </row>
    <row r="51" customFormat="false" ht="15" hidden="false" customHeight="false" outlineLevel="0" collapsed="false">
      <c r="A51" s="145" t="s">
        <v>335</v>
      </c>
      <c r="B51" s="147" t="s">
        <v>322</v>
      </c>
      <c r="C51" s="147" t="s">
        <v>324</v>
      </c>
      <c r="D51" s="147" t="s">
        <v>346</v>
      </c>
      <c r="E51" s="146" t="s">
        <v>347</v>
      </c>
      <c r="F51" s="147" t="s">
        <v>348</v>
      </c>
      <c r="G51" s="147" t="s">
        <v>349</v>
      </c>
      <c r="H51" s="147" t="s">
        <v>350</v>
      </c>
    </row>
    <row r="52" customFormat="false" ht="15" hidden="false" customHeight="false" outlineLevel="0" collapsed="false">
      <c r="A52" s="168" t="s">
        <v>278</v>
      </c>
      <c r="B52" s="169" t="n">
        <f aca="false">B30</f>
        <v>-132.4</v>
      </c>
      <c r="C52" s="169" t="n">
        <f aca="false">B31</f>
        <v>0.6</v>
      </c>
      <c r="D52" s="169" t="n">
        <f aca="false">B32</f>
        <v>50.1522</v>
      </c>
      <c r="E52" s="169" t="n">
        <f aca="false">B33</f>
        <v>-140.9319</v>
      </c>
      <c r="F52" s="169" t="n">
        <f aca="false">B34</f>
        <v>-18</v>
      </c>
      <c r="G52" s="169" t="n">
        <f aca="false">B35</f>
        <v>207.2312</v>
      </c>
      <c r="H52" s="170" t="n">
        <f aca="false">C39</f>
        <v>9.3</v>
      </c>
    </row>
    <row r="53" customFormat="false" ht="15" hidden="false" customHeight="false" outlineLevel="0" collapsed="false">
      <c r="A53" s="168" t="s">
        <v>279</v>
      </c>
      <c r="B53" s="169" t="n">
        <f aca="false">C30</f>
        <v>42.4</v>
      </c>
      <c r="C53" s="169" t="n">
        <f aca="false">C31</f>
        <v>-2</v>
      </c>
      <c r="D53" s="169" t="n">
        <f aca="false">C32</f>
        <v>-730.6074</v>
      </c>
      <c r="E53" s="169" t="n">
        <f aca="false">C33</f>
        <v>9.7896</v>
      </c>
      <c r="F53" s="169" t="n">
        <f aca="false">C34</f>
        <v>-15.6</v>
      </c>
      <c r="G53" s="169" t="n">
        <f aca="false">C35</f>
        <v>665.2098</v>
      </c>
      <c r="H53" s="170" t="n">
        <f aca="false">D39</f>
        <v>9.2</v>
      </c>
    </row>
    <row r="54" customFormat="false" ht="15" hidden="false" customHeight="false" outlineLevel="0" collapsed="false">
      <c r="A54" s="168" t="s">
        <v>280</v>
      </c>
      <c r="B54" s="169" t="n">
        <f aca="false">D30</f>
        <v>0</v>
      </c>
      <c r="C54" s="169" t="n">
        <f aca="false">D31</f>
        <v>0</v>
      </c>
      <c r="D54" s="169" t="n">
        <f aca="false">D32</f>
        <v>0</v>
      </c>
      <c r="E54" s="169" t="n">
        <f aca="false">D33</f>
        <v>0</v>
      </c>
      <c r="F54" s="169" t="n">
        <f aca="false">D34</f>
        <v>0</v>
      </c>
      <c r="G54" s="169" t="n">
        <f aca="false">D35</f>
        <v>0</v>
      </c>
      <c r="H54" s="170" t="n">
        <f aca="false">E39</f>
        <v>9.1</v>
      </c>
    </row>
    <row r="55" customFormat="false" ht="15" hidden="false" customHeight="false" outlineLevel="0" collapsed="false">
      <c r="A55" s="168" t="s">
        <v>281</v>
      </c>
      <c r="B55" s="169" t="n">
        <f aca="false">E30</f>
        <v>143.8</v>
      </c>
      <c r="C55" s="169" t="n">
        <f aca="false">E31</f>
        <v>0.4</v>
      </c>
      <c r="D55" s="169" t="n">
        <f aca="false">E32</f>
        <v>-548.2509</v>
      </c>
      <c r="E55" s="169" t="n">
        <f aca="false">E33</f>
        <v>439.2588</v>
      </c>
      <c r="F55" s="169" t="n">
        <f aca="false">E34</f>
        <v>29.2</v>
      </c>
      <c r="G55" s="169" t="n">
        <f aca="false">E35</f>
        <v>-238.2377</v>
      </c>
      <c r="H55" s="170" t="n">
        <f aca="false">F39</f>
        <v>8.9</v>
      </c>
    </row>
    <row r="56" customFormat="false" ht="15" hidden="false" customHeight="false" outlineLevel="0" collapsed="false">
      <c r="A56" s="168" t="s">
        <v>282</v>
      </c>
      <c r="B56" s="169" t="n">
        <f aca="false">F30</f>
        <v>-684.2037</v>
      </c>
      <c r="C56" s="169" t="n">
        <f aca="false">F31</f>
        <v>-9.4932</v>
      </c>
      <c r="D56" s="169" t="n">
        <f aca="false">F32</f>
        <v>-1205.0243</v>
      </c>
      <c r="E56" s="169" t="n">
        <f aca="false">F33</f>
        <v>1296.9064</v>
      </c>
      <c r="F56" s="169" t="n">
        <f aca="false">F34</f>
        <v>-100.6751</v>
      </c>
      <c r="G56" s="169" t="n">
        <f aca="false">F35</f>
        <v>1085.5419</v>
      </c>
      <c r="H56" s="170" t="n">
        <f aca="false">G39</f>
        <v>8.7</v>
      </c>
    </row>
    <row r="57" customFormat="false" ht="15" hidden="false" customHeight="false" outlineLevel="0" collapsed="false">
      <c r="A57" s="168" t="s">
        <v>283</v>
      </c>
      <c r="B57" s="169" t="n">
        <f aca="false">G30</f>
        <v>-88.4</v>
      </c>
      <c r="C57" s="169" t="n">
        <f aca="false">G31</f>
        <v>90.4</v>
      </c>
      <c r="D57" s="169" t="n">
        <f aca="false">G32</f>
        <v>540.6631</v>
      </c>
      <c r="E57" s="169" t="n">
        <f aca="false">G33</f>
        <v>-1080.9543</v>
      </c>
      <c r="F57" s="169" t="n">
        <f aca="false">G34</f>
        <v>124.4191</v>
      </c>
      <c r="G57" s="169" t="n">
        <f aca="false">G35</f>
        <v>-286.9089</v>
      </c>
      <c r="H57" s="170" t="n">
        <f aca="false">H39</f>
        <v>8.55</v>
      </c>
    </row>
    <row r="58" customFormat="false" ht="15" hidden="false" customHeight="false" outlineLevel="0" collapsed="false">
      <c r="A58" s="168" t="s">
        <v>284</v>
      </c>
      <c r="B58" s="169" t="n">
        <f aca="false">H30</f>
        <v>80</v>
      </c>
      <c r="C58" s="169" t="n">
        <f aca="false">H31</f>
        <v>315.4851</v>
      </c>
      <c r="D58" s="169" t="n">
        <f aca="false">H32</f>
        <v>805.4449</v>
      </c>
      <c r="E58" s="169" t="n">
        <f aca="false">H33</f>
        <v>-41.1549</v>
      </c>
      <c r="F58" s="169" t="n">
        <f aca="false">H34</f>
        <v>0.1181</v>
      </c>
      <c r="G58" s="169" t="n">
        <f aca="false">H35</f>
        <v>284.3786</v>
      </c>
      <c r="H58" s="170" t="n">
        <f aca="false">I39</f>
        <v>8.4</v>
      </c>
    </row>
    <row r="59" customFormat="false" ht="15" hidden="false" customHeight="false" outlineLevel="0" collapsed="false">
      <c r="A59" s="168" t="s">
        <v>285</v>
      </c>
      <c r="B59" s="169" t="n">
        <f aca="false">I30</f>
        <v>-182.4</v>
      </c>
      <c r="C59" s="169" t="n">
        <f aca="false">I31</f>
        <v>65.2</v>
      </c>
      <c r="D59" s="169" t="n">
        <f aca="false">I32</f>
        <v>461.3086</v>
      </c>
      <c r="E59" s="169" t="n">
        <f aca="false">I33</f>
        <v>-336.7655</v>
      </c>
      <c r="F59" s="169" t="n">
        <f aca="false">I34</f>
        <v>62.8819</v>
      </c>
      <c r="G59" s="169" t="n">
        <f aca="false">I35</f>
        <v>-1.7569</v>
      </c>
      <c r="H59" s="170" t="n">
        <f aca="false">J39</f>
        <v>8.95</v>
      </c>
    </row>
    <row r="60" customFormat="false" ht="15" hidden="false" customHeight="false" outlineLevel="0" collapsed="false">
      <c r="A60" s="168" t="s">
        <v>286</v>
      </c>
      <c r="B60" s="169" t="n">
        <f aca="false">J30</f>
        <v>-114</v>
      </c>
      <c r="C60" s="169" t="n">
        <f aca="false">J31</f>
        <v>22</v>
      </c>
      <c r="D60" s="169" t="n">
        <f aca="false">J32</f>
        <v>263.8052</v>
      </c>
      <c r="E60" s="169" t="n">
        <f aca="false">J33</f>
        <v>-212.7467</v>
      </c>
      <c r="F60" s="169" t="n">
        <f aca="false">J34</f>
        <v>12.0614</v>
      </c>
      <c r="G60" s="169" t="n">
        <f aca="false">J35</f>
        <v>-264.1206</v>
      </c>
      <c r="H60" s="170" t="n">
        <f aca="false">K39</f>
        <v>9.34</v>
      </c>
    </row>
  </sheetData>
  <mergeCells count="8">
    <mergeCell ref="A1:N1"/>
    <mergeCell ref="A2:N2"/>
    <mergeCell ref="A43:N43"/>
    <mergeCell ref="A44:N44"/>
    <mergeCell ref="A45:N45"/>
    <mergeCell ref="A46:N46"/>
    <mergeCell ref="A47:N47"/>
    <mergeCell ref="A48:N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5" min="2" style="1" width="13"/>
    <col collapsed="false" customWidth="true" hidden="false" outlineLevel="0" max="6" min="6" style="1" width="30"/>
  </cols>
  <sheetData>
    <row r="1" customFormat="false" ht="19.5" hidden="false" customHeight="true" outlineLevel="0" collapsed="false">
      <c r="A1" s="24" t="s">
        <v>351</v>
      </c>
      <c r="B1" s="24"/>
      <c r="C1" s="24"/>
      <c r="D1" s="24"/>
      <c r="E1" s="24"/>
      <c r="F1" s="24"/>
    </row>
    <row r="2" customFormat="false" ht="13.5" hidden="false" customHeight="true" outlineLevel="0" collapsed="false">
      <c r="A2" s="3" t="s">
        <v>352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12" t="s">
        <v>353</v>
      </c>
      <c r="B4" s="13"/>
      <c r="C4" s="13"/>
      <c r="D4" s="13"/>
      <c r="E4" s="13"/>
      <c r="F4" s="13"/>
    </row>
    <row r="5" customFormat="false" ht="15" hidden="false" customHeight="true" outlineLevel="0" collapsed="false">
      <c r="A5" s="16" t="s">
        <v>354</v>
      </c>
      <c r="B5" s="171" t="n">
        <f aca="false">假设与输入!$B$7</f>
        <v>9</v>
      </c>
    </row>
    <row r="6" customFormat="false" ht="15" hidden="false" customHeight="true" outlineLevel="0" collapsed="false">
      <c r="A6" s="16" t="s">
        <v>355</v>
      </c>
      <c r="B6" s="172" t="n">
        <f aca="false">假设与输入!$B$8</f>
        <v>1350</v>
      </c>
    </row>
    <row r="7" customFormat="false" ht="15" hidden="false" customHeight="true" outlineLevel="0" collapsed="false">
      <c r="A7" s="16" t="s">
        <v>356</v>
      </c>
      <c r="B7" s="173" t="n">
        <f aca="false">假设与输入!$B$7*假设与输入!$B$8</f>
        <v>12150</v>
      </c>
    </row>
    <row r="8" customFormat="false" ht="15" hidden="false" customHeight="true" outlineLevel="0" collapsed="false">
      <c r="A8" s="16" t="s">
        <v>357</v>
      </c>
      <c r="B8" s="173" t="n">
        <f aca="false">假设与输入!$B$7*假设与输入!$B$8/假设与输入!$B$6</f>
        <v>1557.69230769231</v>
      </c>
    </row>
    <row r="9" customFormat="false" ht="15" hidden="false" customHeight="true" outlineLevel="0" collapsed="false">
      <c r="A9" s="16" t="s">
        <v>358</v>
      </c>
      <c r="B9" s="174" t="n">
        <f aca="false">假设与输入!$B$9</f>
        <v>497</v>
      </c>
    </row>
    <row r="10" customFormat="false" ht="15" hidden="false" customHeight="true" outlineLevel="0" collapsed="false">
      <c r="A10" s="175" t="s">
        <v>359</v>
      </c>
      <c r="B10" s="176" t="n">
        <f aca="false">假设与输入!$B$7*假设与输入!$B$8/假设与输入!$B$6-假设与输入!$B$9</f>
        <v>1060.69230769231</v>
      </c>
    </row>
    <row r="11" customFormat="false" ht="15" hidden="false" customHeight="true" outlineLevel="0" collapsed="false">
      <c r="A11" s="16" t="s">
        <v>360</v>
      </c>
      <c r="B11" s="177" t="n">
        <f aca="false">假设与输入!$B$9/假设与输入!$B$8*假设与输入!$B$6</f>
        <v>2.87155555555556</v>
      </c>
    </row>
    <row r="12" customFormat="false" ht="15" hidden="false" customHeight="true" outlineLevel="0" collapsed="false">
      <c r="A12" s="16" t="s">
        <v>361</v>
      </c>
      <c r="B12" s="80" t="n">
        <f aca="false">假设与输入!$B$9/(假设与输入!$B$7*假设与输入!$B$8/假设与输入!$B$6)</f>
        <v>0.319061728395062</v>
      </c>
    </row>
    <row r="14" customFormat="false" ht="15" hidden="false" customHeight="true" outlineLevel="0" collapsed="false">
      <c r="A14" s="12" t="s">
        <v>362</v>
      </c>
      <c r="B14" s="13"/>
      <c r="C14" s="13"/>
      <c r="D14" s="13"/>
      <c r="E14" s="13"/>
      <c r="F14" s="13"/>
    </row>
    <row r="15" customFormat="false" ht="15" hidden="false" customHeight="true" outlineLevel="0" collapsed="false">
      <c r="A15" s="14" t="s">
        <v>9</v>
      </c>
      <c r="B15" s="15" t="s">
        <v>43</v>
      </c>
      <c r="C15" s="15" t="s">
        <v>44</v>
      </c>
    </row>
    <row r="16" customFormat="false" ht="15" hidden="false" customHeight="true" outlineLevel="0" collapsed="false">
      <c r="A16" s="16" t="s">
        <v>363</v>
      </c>
      <c r="B16" s="178" t="n">
        <f aca="false">(假设与输入!$B$7*假设与输入!$B$8/假设与输入!$B$6)/利润表!G7</f>
        <v>1.19761222735471</v>
      </c>
      <c r="C16" s="178" t="n">
        <f aca="false">(假设与输入!$B$7*假设与输入!$B$8/假设与输入!$B$6)/利润表!H7</f>
        <v>0.967022782014747</v>
      </c>
    </row>
    <row r="17" customFormat="false" ht="15" hidden="false" customHeight="true" outlineLevel="0" collapsed="false">
      <c r="A17" s="16" t="s">
        <v>364</v>
      </c>
      <c r="B17" s="178" t="n">
        <f aca="false">(假设与输入!$B$7*假设与输入!$B$8/假设与输入!$B$6)/利润表!G27</f>
        <v>9.03670242618442</v>
      </c>
      <c r="C17" s="178" t="n">
        <f aca="false">(假设与输入!$B$7*假设与输入!$B$8/假设与输入!$B$6)/利润表!H27</f>
        <v>8.29166776746968</v>
      </c>
    </row>
    <row r="18" customFormat="false" ht="15" hidden="false" customHeight="true" outlineLevel="0" collapsed="false">
      <c r="A18" s="16" t="s">
        <v>365</v>
      </c>
      <c r="B18" s="178" t="n">
        <f aca="false">(假设与输入!$B$7*假设与输入!$B$8/假设与输入!$B$6)/利润表!G34</f>
        <v>11.7407526322017</v>
      </c>
      <c r="C18" s="178" t="n">
        <f aca="false">(假设与输入!$B$7*假设与输入!$B$8/假设与输入!$B$6)/利润表!H34</f>
        <v>8.29166776746968</v>
      </c>
    </row>
    <row r="19" customFormat="false" ht="15" hidden="false" customHeight="true" outlineLevel="0" collapsed="false">
      <c r="A19" s="16" t="s">
        <v>366</v>
      </c>
      <c r="B19" s="178" t="n">
        <f aca="false">(假设与输入!$B$7*假设与输入!$B$8/假设与输入!$B$6)/利润表!G35</f>
        <v>9.95750647615646</v>
      </c>
      <c r="C19" s="178" t="n">
        <f aca="false">(假设与输入!$B$7*假设与输入!$B$8/假设与输入!$B$6)/利润表!H35</f>
        <v>7.25884313490218</v>
      </c>
    </row>
    <row r="20" customFormat="false" ht="15" hidden="false" customHeight="true" outlineLevel="0" collapsed="false">
      <c r="A20" s="65" t="s">
        <v>367</v>
      </c>
      <c r="B20" s="178" t="n">
        <f aca="false">(假设与输入!$B$7*假设与输入!$B$8/假设与输入!$B$6-假设与输入!$B$9)/利润表!G37</f>
        <v>5.89376661560852</v>
      </c>
      <c r="C20" s="178" t="n">
        <f aca="false">(假设与输入!$B$7*假设与输入!$B$8/假设与输入!$B$6-假设与输入!$B$9)/利润表!H37</f>
        <v>4.50146641937075</v>
      </c>
    </row>
    <row r="22" customFormat="false" ht="16.5" hidden="false" customHeight="true" outlineLevel="0" collapsed="false">
      <c r="A22" s="12" t="s">
        <v>368</v>
      </c>
      <c r="B22" s="13"/>
      <c r="C22" s="13"/>
      <c r="D22" s="13"/>
      <c r="E22" s="13"/>
      <c r="F22" s="13"/>
    </row>
    <row r="23" customFormat="false" ht="15" hidden="false" customHeight="true" outlineLevel="0" collapsed="false">
      <c r="A23" s="14" t="s">
        <v>369</v>
      </c>
      <c r="B23" s="5" t="s">
        <v>3</v>
      </c>
      <c r="C23" s="5" t="s">
        <v>370</v>
      </c>
      <c r="D23" s="5" t="s">
        <v>4</v>
      </c>
      <c r="E23" s="5" t="s">
        <v>371</v>
      </c>
    </row>
    <row r="24" customFormat="false" ht="15" hidden="false" customHeight="true" outlineLevel="0" collapsed="false">
      <c r="A24" s="65" t="s">
        <v>372</v>
      </c>
      <c r="B24" s="179" t="n">
        <f aca="false">利润表!$G$35*假设与输入!B40/假设与输入!$B$8*假设与输入!$B$6</f>
        <v>7.23072590235377</v>
      </c>
      <c r="C24" s="179" t="n">
        <f aca="false">利润表!$G$35*假设与输入!C40/假设与输入!$B$8*假设与输入!$B$6</f>
        <v>9.94224811573644</v>
      </c>
      <c r="D24" s="179" t="n">
        <f aca="false">利润表!$G$35*假设与输入!D40/假设与输入!$B$8*假设与输入!$B$6</f>
        <v>12.6537703291191</v>
      </c>
      <c r="E24" s="75" t="s">
        <v>373</v>
      </c>
    </row>
    <row r="25" customFormat="false" ht="15" hidden="false" customHeight="true" outlineLevel="0" collapsed="false">
      <c r="A25" s="65" t="s">
        <v>374</v>
      </c>
      <c r="B25" s="179" t="n">
        <f aca="false">利润表!$H$35*假设与输入!B41/假设与输入!$B$8*假设与输入!$B$6</f>
        <v>8.67906894103849</v>
      </c>
      <c r="C25" s="179" t="n">
        <f aca="false">利润表!$H$35*假设与输入!C41/假设与输入!$B$8*假设与输入!$B$6</f>
        <v>12.3986699157693</v>
      </c>
      <c r="D25" s="179" t="n">
        <f aca="false">利润表!$H$35*假设与输入!D41/假设与输入!$B$8*假设与输入!$B$6</f>
        <v>16.1182708905001</v>
      </c>
      <c r="E25" s="75" t="s">
        <v>375</v>
      </c>
    </row>
    <row r="26" customFormat="false" ht="15" hidden="false" customHeight="true" outlineLevel="0" collapsed="false">
      <c r="A26" s="65" t="s">
        <v>376</v>
      </c>
      <c r="B26" s="179" t="n">
        <f aca="false">(利润表!$H$37*假设与输入!B42+假设与输入!$B$9)/假设与输入!$B$8*假设与输入!$B$6</f>
        <v>9.67872001431111</v>
      </c>
      <c r="C26" s="179" t="n">
        <f aca="false">(利润表!$H$37*假设与输入!C42+假设与输入!$B$9)/假设与输入!$B$8*假设与输入!$B$6</f>
        <v>13.0823022436889</v>
      </c>
      <c r="D26" s="179" t="n">
        <f aca="false">(利润表!$H$37*假设与输入!D42+假设与输入!$B$9)/假设与输入!$B$8*假设与输入!$B$6</f>
        <v>16.4858844730667</v>
      </c>
      <c r="E26" s="20" t="s">
        <v>377</v>
      </c>
    </row>
    <row r="27" customFormat="false" ht="16.5" hidden="false" customHeight="true" outlineLevel="0" collapsed="false">
      <c r="A27" s="180" t="s">
        <v>378</v>
      </c>
      <c r="B27" s="181" t="n">
        <f aca="false">AVERAGE(B24,B25,B26)</f>
        <v>8.52950495256779</v>
      </c>
      <c r="C27" s="181" t="n">
        <f aca="false">AVERAGE(C24,C25,C26)</f>
        <v>11.8077400917315</v>
      </c>
      <c r="D27" s="181" t="n">
        <f aca="false">AVERAGE(D24,D25,D26)</f>
        <v>15.0859752308953</v>
      </c>
      <c r="E27" s="75" t="s">
        <v>379</v>
      </c>
    </row>
    <row r="28" customFormat="false" ht="15" hidden="false" customHeight="true" outlineLevel="0" collapsed="false">
      <c r="A28" s="119" t="s">
        <v>380</v>
      </c>
      <c r="B28" s="84" t="n">
        <f aca="false">B27/假设与输入!$B$7-1</f>
        <v>-0.0522772274924674</v>
      </c>
      <c r="C28" s="84" t="n">
        <f aca="false">C27/假设与输入!$B$7-1</f>
        <v>0.311971121303504</v>
      </c>
      <c r="D28" s="84" t="n">
        <f aca="false">D27/假设与输入!$B$7-1</f>
        <v>0.676219470099475</v>
      </c>
    </row>
    <row r="30" customFormat="false" ht="16.5" hidden="false" customHeight="true" outlineLevel="0" collapsed="false">
      <c r="A30" s="12" t="s">
        <v>381</v>
      </c>
      <c r="B30" s="13"/>
      <c r="C30" s="13"/>
      <c r="D30" s="13"/>
      <c r="E30" s="13"/>
      <c r="F30" s="13"/>
    </row>
    <row r="31" customFormat="false" ht="15" hidden="false" customHeight="true" outlineLevel="0" collapsed="false">
      <c r="A31" s="5" t="s">
        <v>382</v>
      </c>
      <c r="B31" s="182" t="n">
        <v>8</v>
      </c>
      <c r="C31" s="182" t="n">
        <v>10</v>
      </c>
      <c r="D31" s="182" t="n">
        <v>12</v>
      </c>
      <c r="E31" s="182" t="n">
        <v>14</v>
      </c>
    </row>
    <row r="32" customFormat="false" ht="15" hidden="false" customHeight="true" outlineLevel="0" collapsed="false">
      <c r="A32" s="183" t="n">
        <v>190</v>
      </c>
      <c r="B32" s="179" t="n">
        <f aca="false">$A32*B$31/假设与输入!$B$8*假设与输入!$B$6</f>
        <v>8.78222222222222</v>
      </c>
      <c r="C32" s="179" t="n">
        <f aca="false">$A32*C$31/假设与输入!$B$8*假设与输入!$B$6</f>
        <v>10.9777777777778</v>
      </c>
      <c r="D32" s="179" t="n">
        <f aca="false">$A32*D$31/假设与输入!$B$8*假设与输入!$B$6</f>
        <v>13.1733333333333</v>
      </c>
      <c r="E32" s="179" t="n">
        <f aca="false">$A32*E$31/假设与输入!$B$8*假设与输入!$B$6</f>
        <v>15.3688888888889</v>
      </c>
    </row>
    <row r="33" customFormat="false" ht="15" hidden="false" customHeight="true" outlineLevel="0" collapsed="false">
      <c r="A33" s="183" t="n">
        <v>215</v>
      </c>
      <c r="B33" s="179" t="n">
        <f aca="false">$A33*B$32/假设与输入!$B$8*假设与输入!$B$6</f>
        <v>10.9094716049383</v>
      </c>
      <c r="C33" s="179" t="n">
        <f aca="false">$A33*C$32/假设与输入!$B$8*假设与输入!$B$6</f>
        <v>13.6368395061728</v>
      </c>
      <c r="D33" s="179" t="n">
        <f aca="false">$A33*D$32/假设与输入!$B$8*假设与输入!$B$6</f>
        <v>16.3642074074074</v>
      </c>
      <c r="E33" s="179" t="n">
        <f aca="false">$A33*E$32/假设与输入!$B$8*假设与输入!$B$6</f>
        <v>19.091575308642</v>
      </c>
    </row>
    <row r="34" customFormat="false" ht="15" hidden="false" customHeight="true" outlineLevel="0" collapsed="false">
      <c r="A34" s="183" t="n">
        <v>240</v>
      </c>
      <c r="B34" s="179" t="n">
        <f aca="false">$A34*B$33/假设与输入!$B$8*假设与输入!$B$6</f>
        <v>15.1278006255144</v>
      </c>
      <c r="C34" s="179" t="n">
        <f aca="false">$A34*C$33/假设与输入!$B$8*假设与输入!$B$6</f>
        <v>18.909750781893</v>
      </c>
      <c r="D34" s="179" t="n">
        <f aca="false">$A34*D$33/假设与输入!$B$8*假设与输入!$B$6</f>
        <v>22.6917009382716</v>
      </c>
      <c r="E34" s="179" t="n">
        <f aca="false">$A34*E$33/假设与输入!$B$8*假设与输入!$B$6</f>
        <v>26.4736510946502</v>
      </c>
    </row>
    <row r="35" customFormat="false" ht="15" hidden="false" customHeight="true" outlineLevel="0" collapsed="false">
      <c r="A35" s="183" t="n">
        <v>265</v>
      </c>
      <c r="B35" s="179" t="n">
        <f aca="false">$A35*B$34/假设与输入!$B$8*假设与输入!$B$6</f>
        <v>23.1623436243987</v>
      </c>
      <c r="C35" s="179" t="n">
        <f aca="false">$A35*C$34/假设与输入!$B$8*假设与输入!$B$6</f>
        <v>28.9529295304984</v>
      </c>
      <c r="D35" s="179" t="n">
        <f aca="false">$A35*D$34/假设与输入!$B$8*假设与输入!$B$6</f>
        <v>34.7435154365981</v>
      </c>
      <c r="E35" s="179" t="n">
        <f aca="false">$A35*E$34/假设与输入!$B$8*假设与输入!$B$6</f>
        <v>40.5341013426978</v>
      </c>
    </row>
    <row r="36" customFormat="false" ht="15" hidden="false" customHeight="true" outlineLevel="0" collapsed="false">
      <c r="A36" s="75" t="s">
        <v>383</v>
      </c>
    </row>
    <row r="38" customFormat="false" ht="16.5" hidden="false" customHeight="true" outlineLevel="0" collapsed="false">
      <c r="A38" s="12" t="s">
        <v>384</v>
      </c>
      <c r="B38" s="13"/>
      <c r="C38" s="13"/>
      <c r="D38" s="13"/>
      <c r="E38" s="13"/>
      <c r="F38" s="13"/>
    </row>
    <row r="39" customFormat="false" ht="15" hidden="false" customHeight="true" outlineLevel="0" collapsed="false">
      <c r="A39" s="14" t="s">
        <v>385</v>
      </c>
      <c r="B39" s="5" t="s">
        <v>386</v>
      </c>
      <c r="C39" s="5" t="s">
        <v>387</v>
      </c>
      <c r="D39" s="5" t="s">
        <v>388</v>
      </c>
      <c r="E39" s="5"/>
      <c r="F39" s="5"/>
    </row>
    <row r="40" customFormat="false" ht="15" hidden="false" customHeight="true" outlineLevel="0" collapsed="false">
      <c r="A40" s="113" t="s">
        <v>247</v>
      </c>
      <c r="B40" s="184" t="n">
        <v>14.5</v>
      </c>
      <c r="C40" s="19" t="s">
        <v>389</v>
      </c>
      <c r="D40" s="185" t="s">
        <v>390</v>
      </c>
      <c r="E40" s="185"/>
      <c r="F40" s="185"/>
    </row>
    <row r="41" customFormat="false" ht="15" hidden="false" customHeight="true" outlineLevel="0" collapsed="false">
      <c r="A41" s="113" t="s">
        <v>391</v>
      </c>
      <c r="B41" s="184" t="n">
        <v>14.5</v>
      </c>
      <c r="C41" s="19" t="s">
        <v>392</v>
      </c>
      <c r="D41" s="186" t="s">
        <v>393</v>
      </c>
      <c r="E41" s="186"/>
      <c r="F41" s="186"/>
    </row>
    <row r="42" customFormat="false" ht="15" hidden="false" customHeight="true" outlineLevel="0" collapsed="false">
      <c r="A42" s="113" t="s">
        <v>394</v>
      </c>
      <c r="B42" s="184" t="n">
        <v>13.2</v>
      </c>
      <c r="C42" s="19" t="s">
        <v>392</v>
      </c>
      <c r="D42" s="185" t="s">
        <v>395</v>
      </c>
      <c r="E42" s="185"/>
      <c r="F42" s="185"/>
    </row>
    <row r="43" customFormat="false" ht="15" hidden="false" customHeight="true" outlineLevel="0" collapsed="false">
      <c r="A43" s="113" t="s">
        <v>250</v>
      </c>
      <c r="B43" s="111" t="s">
        <v>53</v>
      </c>
      <c r="C43" s="19" t="s">
        <v>392</v>
      </c>
      <c r="D43" s="186" t="s">
        <v>396</v>
      </c>
      <c r="E43" s="186"/>
      <c r="F43" s="186"/>
    </row>
    <row r="44" customFormat="false" ht="15" hidden="false" customHeight="true" outlineLevel="0" collapsed="false">
      <c r="A44" s="113" t="s">
        <v>397</v>
      </c>
      <c r="B44" s="111" t="s">
        <v>53</v>
      </c>
      <c r="C44" s="19" t="s">
        <v>392</v>
      </c>
      <c r="D44" s="185" t="s">
        <v>398</v>
      </c>
      <c r="E44" s="185"/>
      <c r="F44" s="185"/>
    </row>
    <row r="45" customFormat="false" ht="15" hidden="false" customHeight="true" outlineLevel="0" collapsed="false">
      <c r="A45" s="113" t="s">
        <v>399</v>
      </c>
      <c r="B45" s="184" t="n">
        <v>13.5</v>
      </c>
      <c r="C45" s="111" t="s">
        <v>53</v>
      </c>
      <c r="D45" s="186" t="s">
        <v>400</v>
      </c>
      <c r="E45" s="186"/>
      <c r="F45" s="186"/>
    </row>
  </sheetData>
  <mergeCells count="9">
    <mergeCell ref="A1:F1"/>
    <mergeCell ref="A2:F2"/>
    <mergeCell ref="D39:F39"/>
    <mergeCell ref="D40:F40"/>
    <mergeCell ref="D41:F41"/>
    <mergeCell ref="D42:F42"/>
    <mergeCell ref="D43:F43"/>
    <mergeCell ref="D44:F44"/>
    <mergeCell ref="D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6" min="2" style="1" width="13"/>
  </cols>
  <sheetData>
    <row r="1" customFormat="false" ht="21" hidden="false" customHeight="true" outlineLevel="0" collapsed="false">
      <c r="A1" s="187" t="s">
        <v>401</v>
      </c>
      <c r="B1" s="187"/>
      <c r="C1" s="187"/>
      <c r="D1" s="187"/>
      <c r="E1" s="187"/>
      <c r="F1" s="187"/>
    </row>
    <row r="2" customFormat="false" ht="13.5" hidden="false" customHeight="true" outlineLevel="0" collapsed="false">
      <c r="A2" s="3" t="s">
        <v>402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188" t="s">
        <v>403</v>
      </c>
      <c r="B4" s="13"/>
      <c r="C4" s="13"/>
      <c r="D4" s="13"/>
      <c r="E4" s="13"/>
      <c r="F4" s="13"/>
    </row>
    <row r="5" customFormat="false" ht="15" hidden="false" customHeight="true" outlineLevel="0" collapsed="false">
      <c r="A5" s="16" t="s">
        <v>404</v>
      </c>
      <c r="B5" s="189" t="n">
        <v>7.15</v>
      </c>
      <c r="C5" s="3" t="s">
        <v>405</v>
      </c>
      <c r="D5" s="3"/>
      <c r="E5" s="3"/>
      <c r="F5" s="3"/>
    </row>
    <row r="6" customFormat="false" ht="15" hidden="false" customHeight="true" outlineLevel="0" collapsed="false">
      <c r="A6" s="16" t="s">
        <v>406</v>
      </c>
      <c r="B6" s="189" t="n">
        <v>7.8</v>
      </c>
      <c r="C6" s="3" t="s">
        <v>407</v>
      </c>
      <c r="D6" s="3"/>
      <c r="E6" s="3"/>
      <c r="F6" s="3"/>
    </row>
    <row r="7" customFormat="false" ht="15" hidden="false" customHeight="true" outlineLevel="0" collapsed="false">
      <c r="A7" s="16" t="s">
        <v>354</v>
      </c>
      <c r="B7" s="190" t="n">
        <v>9</v>
      </c>
      <c r="C7" s="191" t="s">
        <v>408</v>
      </c>
      <c r="D7" s="191"/>
      <c r="E7" s="191"/>
      <c r="F7" s="191"/>
    </row>
    <row r="8" customFormat="false" ht="15" hidden="false" customHeight="true" outlineLevel="0" collapsed="false">
      <c r="A8" s="16" t="s">
        <v>355</v>
      </c>
      <c r="B8" s="192" t="n">
        <v>1350</v>
      </c>
      <c r="C8" s="3" t="s">
        <v>409</v>
      </c>
      <c r="D8" s="3"/>
      <c r="E8" s="3"/>
      <c r="F8" s="3"/>
    </row>
    <row r="9" customFormat="false" ht="15" hidden="false" customHeight="true" outlineLevel="0" collapsed="false">
      <c r="A9" s="16" t="s">
        <v>410</v>
      </c>
      <c r="B9" s="193" t="n">
        <v>497</v>
      </c>
      <c r="C9" s="3" t="s">
        <v>411</v>
      </c>
      <c r="D9" s="3"/>
      <c r="E9" s="3"/>
      <c r="F9" s="3"/>
    </row>
    <row r="11" customFormat="false" ht="15" hidden="false" customHeight="true" outlineLevel="0" collapsed="false">
      <c r="A11" s="188" t="s">
        <v>412</v>
      </c>
      <c r="B11" s="13"/>
      <c r="C11" s="13"/>
      <c r="D11" s="13"/>
      <c r="E11" s="13"/>
      <c r="F11" s="13"/>
    </row>
    <row r="12" customFormat="false" ht="15" hidden="false" customHeight="true" outlineLevel="0" collapsed="false">
      <c r="A12" s="28"/>
      <c r="B12" s="194" t="s">
        <v>43</v>
      </c>
      <c r="C12" s="194" t="s">
        <v>44</v>
      </c>
      <c r="D12" s="194" t="s">
        <v>45</v>
      </c>
    </row>
    <row r="13" customFormat="false" ht="15" hidden="false" customHeight="true" outlineLevel="0" collapsed="false">
      <c r="A13" s="16" t="s">
        <v>413</v>
      </c>
      <c r="B13" s="195" t="n">
        <v>0.34</v>
      </c>
      <c r="C13" s="195" t="n">
        <v>0.22</v>
      </c>
      <c r="D13" s="195" t="n">
        <v>0.2</v>
      </c>
    </row>
    <row r="14" customFormat="false" ht="15" hidden="false" customHeight="true" outlineLevel="0" collapsed="false">
      <c r="A14" s="16" t="s">
        <v>414</v>
      </c>
      <c r="B14" s="195" t="n">
        <v>0.43</v>
      </c>
      <c r="C14" s="195" t="n">
        <v>0.38</v>
      </c>
      <c r="D14" s="195" t="n">
        <v>0.32</v>
      </c>
    </row>
    <row r="16" customFormat="false" ht="15" hidden="false" customHeight="true" outlineLevel="0" collapsed="false">
      <c r="A16" s="188" t="s">
        <v>415</v>
      </c>
      <c r="B16" s="13"/>
      <c r="C16" s="13"/>
      <c r="D16" s="13"/>
      <c r="E16" s="13"/>
      <c r="F16" s="13"/>
    </row>
    <row r="17" customFormat="false" ht="15" hidden="false" customHeight="true" outlineLevel="0" collapsed="false">
      <c r="A17" s="28"/>
      <c r="B17" s="194" t="s">
        <v>43</v>
      </c>
      <c r="C17" s="194" t="s">
        <v>44</v>
      </c>
      <c r="D17" s="194" t="s">
        <v>45</v>
      </c>
    </row>
    <row r="18" customFormat="false" ht="15" hidden="false" customHeight="true" outlineLevel="0" collapsed="false">
      <c r="A18" s="16" t="s">
        <v>416</v>
      </c>
      <c r="B18" s="195" t="n">
        <v>0.575</v>
      </c>
      <c r="C18" s="195" t="n">
        <v>0.57</v>
      </c>
      <c r="D18" s="195" t="n">
        <v>0.565</v>
      </c>
      <c r="F18" s="20" t="s">
        <v>417</v>
      </c>
    </row>
    <row r="19" customFormat="false" ht="15" hidden="false" customHeight="true" outlineLevel="0" collapsed="false">
      <c r="A19" s="16" t="s">
        <v>418</v>
      </c>
      <c r="B19" s="195" t="n">
        <v>0.37</v>
      </c>
      <c r="C19" s="195" t="n">
        <v>0.355</v>
      </c>
      <c r="D19" s="195" t="n">
        <v>0.34</v>
      </c>
      <c r="F19" s="75" t="s">
        <v>419</v>
      </c>
    </row>
    <row r="20" customFormat="false" ht="15" hidden="false" customHeight="true" outlineLevel="0" collapsed="false">
      <c r="A20" s="16" t="s">
        <v>420</v>
      </c>
      <c r="B20" s="195" t="n">
        <v>0.05</v>
      </c>
      <c r="C20" s="195" t="n">
        <v>0.05</v>
      </c>
      <c r="D20" s="195" t="n">
        <v>0.05</v>
      </c>
      <c r="F20" s="20" t="s">
        <v>421</v>
      </c>
    </row>
    <row r="21" customFormat="false" ht="15" hidden="false" customHeight="true" outlineLevel="0" collapsed="false">
      <c r="A21" s="16" t="s">
        <v>422</v>
      </c>
      <c r="B21" s="195" t="n">
        <v>0.034</v>
      </c>
      <c r="C21" s="195" t="n">
        <v>0.033</v>
      </c>
      <c r="D21" s="195" t="n">
        <v>0.032</v>
      </c>
      <c r="F21" s="20" t="s">
        <v>423</v>
      </c>
    </row>
    <row r="22" customFormat="false" ht="15" hidden="false" customHeight="true" outlineLevel="0" collapsed="false">
      <c r="A22" s="16" t="s">
        <v>424</v>
      </c>
      <c r="B22" s="195" t="n">
        <v>0.018</v>
      </c>
      <c r="C22" s="195" t="n">
        <v>0.018</v>
      </c>
      <c r="D22" s="195" t="n">
        <v>0.018</v>
      </c>
      <c r="F22" s="75" t="s">
        <v>425</v>
      </c>
    </row>
    <row r="24" customFormat="false" ht="15" hidden="false" customHeight="true" outlineLevel="0" collapsed="false">
      <c r="A24" s="188" t="s">
        <v>426</v>
      </c>
      <c r="B24" s="13"/>
      <c r="C24" s="13"/>
      <c r="D24" s="13"/>
      <c r="E24" s="13"/>
      <c r="F24" s="13"/>
    </row>
    <row r="25" customFormat="false" ht="15" hidden="false" customHeight="true" outlineLevel="0" collapsed="false">
      <c r="A25" s="28"/>
      <c r="B25" s="194" t="s">
        <v>43</v>
      </c>
      <c r="C25" s="194" t="s">
        <v>44</v>
      </c>
      <c r="D25" s="194" t="s">
        <v>45</v>
      </c>
    </row>
    <row r="26" customFormat="false" ht="15" hidden="false" customHeight="true" outlineLevel="0" collapsed="false">
      <c r="A26" s="16" t="s">
        <v>60</v>
      </c>
      <c r="B26" s="196" t="n">
        <v>11</v>
      </c>
      <c r="C26" s="196" t="n">
        <v>13</v>
      </c>
      <c r="D26" s="196" t="n">
        <v>15</v>
      </c>
    </row>
    <row r="27" customFormat="false" ht="15" hidden="false" customHeight="true" outlineLevel="0" collapsed="false">
      <c r="A27" s="16" t="s">
        <v>61</v>
      </c>
      <c r="B27" s="196" t="n">
        <v>-7</v>
      </c>
      <c r="C27" s="196" t="n">
        <v>-3</v>
      </c>
      <c r="D27" s="196" t="n">
        <v>0</v>
      </c>
    </row>
    <row r="28" customFormat="false" ht="15" hidden="false" customHeight="true" outlineLevel="0" collapsed="false">
      <c r="A28" s="16" t="s">
        <v>427</v>
      </c>
      <c r="B28" s="195" t="n">
        <v>0.02</v>
      </c>
      <c r="C28" s="195" t="n">
        <v>0.02</v>
      </c>
      <c r="D28" s="195" t="n">
        <v>0.02</v>
      </c>
    </row>
    <row r="29" customFormat="false" ht="15" hidden="false" customHeight="true" outlineLevel="0" collapsed="false">
      <c r="A29" s="16" t="s">
        <v>428</v>
      </c>
      <c r="B29" s="195" t="n">
        <v>0.01</v>
      </c>
      <c r="C29" s="195" t="n">
        <v>0.01</v>
      </c>
      <c r="D29" s="195" t="n">
        <v>0.01</v>
      </c>
    </row>
    <row r="30" customFormat="false" ht="15" hidden="false" customHeight="true" outlineLevel="0" collapsed="false">
      <c r="A30" s="16" t="s">
        <v>429</v>
      </c>
      <c r="B30" s="196" t="n">
        <v>24</v>
      </c>
      <c r="C30" s="196" t="n">
        <v>27</v>
      </c>
      <c r="D30" s="196" t="n">
        <v>29</v>
      </c>
    </row>
    <row r="31" customFormat="false" ht="15" hidden="false" customHeight="true" outlineLevel="0" collapsed="false">
      <c r="A31" s="16" t="s">
        <v>430</v>
      </c>
      <c r="B31" s="196" t="n">
        <v>22</v>
      </c>
      <c r="C31" s="196" t="n">
        <v>25</v>
      </c>
      <c r="D31" s="196" t="n">
        <v>28</v>
      </c>
    </row>
    <row r="33" customFormat="false" ht="15" hidden="false" customHeight="true" outlineLevel="0" collapsed="false">
      <c r="A33" s="188" t="s">
        <v>431</v>
      </c>
      <c r="B33" s="13"/>
      <c r="C33" s="13"/>
      <c r="D33" s="13"/>
      <c r="E33" s="13"/>
      <c r="F33" s="13"/>
    </row>
    <row r="34" customFormat="false" ht="15" hidden="false" customHeight="true" outlineLevel="0" collapsed="false">
      <c r="A34" s="16" t="s">
        <v>432</v>
      </c>
      <c r="B34" s="196" t="n">
        <v>29.9</v>
      </c>
      <c r="C34" s="191" t="s">
        <v>433</v>
      </c>
      <c r="D34" s="191"/>
      <c r="E34" s="191"/>
      <c r="F34" s="191"/>
    </row>
    <row r="35" customFormat="false" ht="15" hidden="false" customHeight="true" outlineLevel="0" collapsed="false">
      <c r="A35" s="16" t="s">
        <v>434</v>
      </c>
      <c r="B35" s="196" t="n">
        <v>9.8</v>
      </c>
      <c r="C35" s="191" t="s">
        <v>435</v>
      </c>
      <c r="D35" s="191"/>
      <c r="E35" s="191"/>
      <c r="F35" s="191"/>
    </row>
    <row r="36" customFormat="false" ht="15" hidden="false" customHeight="true" outlineLevel="0" collapsed="false">
      <c r="A36" s="45" t="s">
        <v>436</v>
      </c>
      <c r="B36" s="47" t="n">
        <f aca="false">B34+B35</f>
        <v>39.7</v>
      </c>
    </row>
    <row r="38" customFormat="false" ht="15" hidden="false" customHeight="true" outlineLevel="0" collapsed="false">
      <c r="A38" s="188" t="s">
        <v>437</v>
      </c>
      <c r="B38" s="13"/>
      <c r="C38" s="13"/>
      <c r="D38" s="13"/>
      <c r="E38" s="13"/>
      <c r="F38" s="13"/>
    </row>
    <row r="39" customFormat="false" ht="15" hidden="false" customHeight="true" outlineLevel="0" collapsed="false">
      <c r="A39" s="28"/>
      <c r="B39" s="197" t="s">
        <v>3</v>
      </c>
      <c r="C39" s="197" t="s">
        <v>370</v>
      </c>
      <c r="D39" s="197" t="s">
        <v>4</v>
      </c>
    </row>
    <row r="40" customFormat="false" ht="15" hidden="false" customHeight="true" outlineLevel="0" collapsed="false">
      <c r="A40" s="65" t="s">
        <v>438</v>
      </c>
      <c r="B40" s="198" t="n">
        <v>8</v>
      </c>
      <c r="C40" s="198" t="n">
        <v>11</v>
      </c>
      <c r="D40" s="198" t="n">
        <v>14</v>
      </c>
    </row>
    <row r="41" customFormat="false" ht="15" hidden="false" customHeight="true" outlineLevel="0" collapsed="false">
      <c r="A41" s="65" t="s">
        <v>439</v>
      </c>
      <c r="B41" s="198" t="n">
        <v>7</v>
      </c>
      <c r="C41" s="198" t="n">
        <v>10</v>
      </c>
      <c r="D41" s="198" t="n">
        <v>13</v>
      </c>
    </row>
    <row r="42" customFormat="false" ht="15" hidden="false" customHeight="true" outlineLevel="0" collapsed="false">
      <c r="A42" s="65" t="s">
        <v>440</v>
      </c>
      <c r="B42" s="198" t="n">
        <v>5</v>
      </c>
      <c r="C42" s="198" t="n">
        <v>7.5</v>
      </c>
      <c r="D42" s="198" t="n">
        <v>10</v>
      </c>
    </row>
  </sheetData>
  <mergeCells count="9">
    <mergeCell ref="A1:F1"/>
    <mergeCell ref="A2:F2"/>
    <mergeCell ref="C5:F5"/>
    <mergeCell ref="C6:F6"/>
    <mergeCell ref="C7:F7"/>
    <mergeCell ref="C8:F8"/>
    <mergeCell ref="C9:F9"/>
    <mergeCell ref="C34:F34"/>
    <mergeCell ref="C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2026-08-26T11:20:15Z</dcterms:created>
  <dc:creator>openpyxl</dc:creator>
  <dc:description/>
  <dc:language>en-US</dc:language>
  <cp:lastModifiedBy/>
  <dcterms:modified xsi:type="dcterms:W3CDTF">2026-09-10T08:00:56Z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